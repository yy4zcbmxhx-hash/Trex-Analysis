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e53904194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dbe01ae2364095"/>
    <x:sheet xmlns:r="http://schemas.openxmlformats.org/officeDocument/2006/relationships" name="Assumptions" sheetId="2" r:id="Rd12e6f62b84e4ff4"/>
    <x:sheet xmlns:r="http://schemas.openxmlformats.org/officeDocument/2006/relationships" name="Operating" sheetId="3" r:id="Rbee8f64bf6c34842"/>
    <x:sheet xmlns:r="http://schemas.openxmlformats.org/officeDocument/2006/relationships" name="DCF" sheetId="4" r:id="R6077996cd89f4456"/>
    <x:sheet xmlns:r="http://schemas.openxmlformats.org/officeDocument/2006/relationships" name="Actuals" sheetId="5" r:id="R37ef443616774b8c"/>
    <x:sheet xmlns:r="http://schemas.openxmlformats.org/officeDocument/2006/relationships" name="Checks" sheetId="6" r:id="Rcfacd411ce20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(#,##0.0);&quot;-&quot;"/>
    <x:numFmt numFmtId="201" formatCode="0.0%;(0.0%);&quot;-&quot;"/>
    <x:numFmt numFmtId="202" formatCode="$0.00"/>
    <x:numFmt numFmtId="203" formatCode=";;;"/>
    <x:numFmt numFmtId="204" formatCode="0.00;(0.00);0.00"/>
    <x:numFmt numFmtId="205" formatCode="0"/>
    <x:numFmt numFmtId="206" formatCode="0.000x"/>
  </x:numFmts>
  <x:fonts count="14">
    <x:font>
      <x:sz val="11"/>
      <x:name val="Carlito"/>
    </x:font>
    <x:font>
      <x:sz val="10"/>
      <x:color rgb="FF151515"/>
      <x:name val="Arial"/>
    </x:font>
    <x:font>
      <x:b/>
      <x:sz val="16"/>
      <x:color rgb="FF000000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sz val="10"/>
      <x:color rgb="FF50505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51515"/>
      <x:name val="Arial"/>
    </x:font>
    <x:font>
      <x:b/>
      <x:sz val="10"/>
      <x:color rgb="FF008000"/>
      <x:name val="Arial"/>
    </x:font>
    <x:font>
      <x:b/>
      <x:sz val="10"/>
      <x:color rgb="FF000000"/>
      <x:name val="Arial"/>
    </x:font>
    <x:font>
      <x:i/>
      <x:sz val="10"/>
      <x:color rgb="FF151515"/>
      <x:name val="Arial"/>
    </x:font>
    <x:font>
      <x:i/>
      <x:sz val="10"/>
      <x:color rgb="FF000000"/>
      <x:name val="Arial"/>
    </x:font>
    <x:font>
      <x:i/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EAEA"/>
      </x:patternFill>
    </x:fill>
    <x:fill>
      <x:patternFill patternType="solid">
        <x:fgColor rgb="FF000000"/>
      </x:patternFill>
    </x:fill>
  </x:fills>
  <x:borders count="3">
    <x:border>
      <x:left/>
      <x:right/>
      <x:top/>
      <x:bottom/>
      <x:diagonal/>
    </x:border>
    <x:border>
      <x:left style="dotted">
        <x:color rgb="FF777777"/>
      </x:left>
      <x:right style="dotted">
        <x:color rgb="FF777777"/>
      </x:right>
      <x:top style="dotted">
        <x:color rgb="FF777777"/>
      </x:top>
      <x:bottom style="dotted">
        <x:color rgb="FF777777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2" fontId="3" fillId="0" borderId="0" xfId="0" applyNumberFormat="1" applyFont="1" applyFill="1" applyBorder="1"/>
    <x:xf numFmtId="202" fontId="1" fillId="0" borderId="0" xfId="0" applyNumberFormat="1" applyFont="1" applyFill="1" applyBorder="1"/>
    <x:xf numFmtId="203" fontId="3" fillId="0" borderId="0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7" fillId="3" borderId="2" xfId="0" applyNumberFormat="1" applyFont="1" applyFill="1" applyBorder="1"/>
    <x:xf numFmtId="200" fontId="7" fillId="3" borderId="2" xfId="0" applyNumberFormat="1" applyFont="1" applyFill="1" applyBorder="1"/>
    <x:xf numFmtId="0" fontId="8" fillId="0" borderId="0" xfId="0" applyNumberFormat="1" applyFont="1" applyFill="1" applyBorder="1"/>
    <x:xf numFmtId="200" fontId="9" fillId="0" borderId="0" xfId="0" applyNumberFormat="1" applyFont="1" applyFill="1" applyBorder="1"/>
    <x:xf numFmtId="200" fontId="10" fillId="0" borderId="0" xfId="0" applyNumberFormat="1" applyFont="1" applyFill="1" applyBorder="1"/>
    <x:xf numFmtId="200" fontId="8" fillId="0" borderId="0" xfId="0" applyNumberFormat="1" applyFont="1" applyFill="1" applyBorder="1"/>
    <x:xf numFmtId="205" fontId="1" fillId="0" borderId="2" xfId="0" applyNumberFormat="1" applyFont="1" applyFill="1" applyBorder="1"/>
    <x:xf numFmtId="205" fontId="6" fillId="0" borderId="0" xfId="0" applyNumberFormat="1" applyFont="1" applyFill="1" applyBorder="1"/>
    <x:xf numFmtId="205" fontId="1" fillId="0" borderId="0" xfId="0" applyNumberFormat="1" applyFont="1" applyFill="1" applyBorder="1"/>
    <x:xf numFmtId="206" fontId="3" fillId="0" borderId="0" xfId="0" applyNumberFormat="1" applyFont="1" applyFill="1" applyBorder="1"/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201" fontId="12" fillId="0" borderId="0" xfId="0" applyNumberFormat="1" applyFont="1" applyFill="1" applyBorder="1"/>
    <x:xf numFmtId="201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977a41d8b49dd" /><Relationship Type="http://schemas.openxmlformats.org/officeDocument/2006/relationships/theme" Target="/xl/theme/theme1.xml" Id="R9a46273516884de8" /><Relationship Type="http://schemas.openxmlformats.org/officeDocument/2006/relationships/sharedStrings" Target="/xl/sharedStrings.xml" Id="Rcd11c780e7c24b0a" /><Relationship Type="http://schemas.openxmlformats.org/officeDocument/2006/relationships/worksheet" Target="/xl/worksheets/sheet1.xml" Id="Rd0dbe01ae2364095" /><Relationship Type="http://schemas.openxmlformats.org/officeDocument/2006/relationships/worksheet" Target="/xl/worksheets/sheet2.xml" Id="Rd12e6f62b84e4ff4" /><Relationship Type="http://schemas.openxmlformats.org/officeDocument/2006/relationships/worksheet" Target="/xl/worksheets/sheet3.xml" Id="Rbee8f64bf6c34842" /><Relationship Type="http://schemas.openxmlformats.org/officeDocument/2006/relationships/worksheet" Target="/xl/worksheets/sheet4.xml" Id="R6077996cd89f4456" /><Relationship Type="http://schemas.openxmlformats.org/officeDocument/2006/relationships/worksheet" Target="/xl/worksheets/sheet5.xml" Id="R37ef443616774b8c" /><Relationship Type="http://schemas.openxmlformats.org/officeDocument/2006/relationships/worksheet" Target="/xl/worksheets/sheet6.xml" Id="Rcfacd411ce20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0000"/>
  </x:sheetPr>
  <x:sheetViews>
    <x:sheetView showGridLines="1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Operating model and discounted cash flow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 t="str">
        <x:v>Calculation integrity</x:v>
      </x:c>
      <x:c r="D6" s="2"/>
      <x:c r="E6" s="2"/>
      <x:c r="F6" s="2" t="str">
        <x:v>See validated model checks</x:v>
      </x:c>
      <x:c r="G6" s="2"/>
      <x:c r="H6" s="2"/>
      <x:c r="I6" s="2"/>
      <x:c r="J6" s="2"/>
      <x:c r="K6" s="2"/>
    </x:row>
    <x:row r="7" ht="20" customHeight="1">
      <x:c r="A7" s="1"/>
      <x:c r="B7" s="1"/>
      <x:c r="C7" s="1" t="str">
        <x:v>Decision readiness</x:v>
      </x:c>
      <x:c r="D7" s="2"/>
      <x:c r="E7" s="2"/>
      <x:c r="F7" s="2" t="str">
        <x:v>Screen-grade assumptions</x:v>
      </x:c>
      <x:c r="G7" s="2"/>
      <x:c r="H7" s="2"/>
      <x:c r="I7" s="2"/>
      <x:c r="J7" s="2"/>
      <x:c r="K7" s="2"/>
    </x:row>
    <x:row r="8" ht="20" customHeight="1">
      <x:c r="A8" s="1"/>
      <x:c r="B8" s="1"/>
      <x:c r="C8" s="27"/>
      <x:c r="D8" s="28"/>
      <x:c r="E8" s="28"/>
      <x:c r="F8" s="28"/>
      <x:c r="G8" s="28"/>
      <x:c r="H8" s="28"/>
      <x:c r="I8" s="28"/>
      <x:c r="J8" s="28"/>
      <x:c r="K8" s="28"/>
    </x:row>
    <x:row r="9" ht="20" customHeight="1">
      <x:c r="A9" s="1"/>
      <x:c r="B9" s="1"/>
      <x:c r="C9" s="1" t="str">
        <x:v>Reference date</x:v>
      </x:c>
      <x:c r="D9" s="2"/>
      <x:c r="E9" s="2"/>
      <x:c r="F9" s="2" t="str">
        <x:v>30-Jun-2026</x:v>
      </x:c>
      <x:c r="G9" s="2"/>
      <x:c r="H9" s="2"/>
      <x:c r="I9" s="2"/>
      <x:c r="J9" s="2"/>
      <x:c r="K9" s="2"/>
    </x:row>
    <x:row r="10" ht="20" customHeight="1">
      <x:c r="A10" s="1"/>
      <x:c r="B10" s="1"/>
      <x:c r="C10" s="1" t="str">
        <x:v>Information cutoff</x:v>
      </x:c>
      <x:c r="D10" s="2"/>
      <x:c r="E10" s="2"/>
      <x:c r="F10" s="2" t="str">
        <x:v>26-Oct-2026</x:v>
      </x:c>
      <x:c r="G10" s="2"/>
      <x:c r="H10" s="2"/>
      <x:c r="I10" s="2"/>
      <x:c r="J10" s="2"/>
      <x:c r="K10" s="2"/>
    </x:row>
    <x:row r="11" ht="20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</x:row>
    <x:row r="12" ht="20" customHeight="1">
      <x:c r="A12" s="1"/>
      <x:c r="B12" s="1"/>
      <x:c r="C12" s="19" t="str">
        <x:v>Illustrative valuation</x:v>
      </x:c>
      <x:c r="D12" s="20"/>
      <x:c r="E12" s="20"/>
      <x:c r="F12" s="20"/>
      <x:c r="G12" s="20"/>
      <x:c r="H12" s="20"/>
      <x:c r="I12" s="20"/>
      <x:c r="J12" s="20"/>
      <x:c r="K12" s="20"/>
    </x:row>
    <x:row r="13" ht="20" customHeight="1">
      <x:c r="A13" s="1"/>
      <x:c r="B13" s="1"/>
      <x:c r="C13" s="1" t="str">
        <x:v>Enterprise value</x:v>
      </x:c>
      <x:c r="D13" s="2"/>
      <x:c r="E13" s="2"/>
      <x:c r="F13" s="4" t="n">
        <x:f>DCF!D29</x:f>
        <x:v>3167.238867007002</x:v>
      </x:c>
      <x:c r="G13" s="2"/>
      <x:c r="H13" s="2"/>
      <x:c r="I13" s="2"/>
      <x:c r="J13" s="2"/>
      <x:c r="K13" s="2"/>
    </x:row>
    <x:row r="14" ht="20" customHeight="1">
      <x:c r="A14" s="1"/>
      <x:c r="B14" s="1"/>
      <x:c r="C14" s="1" t="str">
        <x:v>Equity value</x:v>
      </x:c>
      <x:c r="D14" s="2"/>
      <x:c r="E14" s="2"/>
      <x:c r="F14" s="4" t="n">
        <x:f>DCF!D32</x:f>
        <x:v>2920.713867007002</x:v>
      </x:c>
      <x:c r="G14" s="2"/>
      <x:c r="H14" s="2"/>
      <x:c r="I14" s="2"/>
      <x:c r="J14" s="2"/>
      <x:c r="K14" s="2"/>
    </x:row>
    <x:row r="15" ht="20" customHeight="1">
      <x:c r="A15" s="1"/>
      <x:c r="B15" s="1"/>
      <x:c r="C15" s="1" t="str">
        <x:v>Value per common share</x:v>
      </x:c>
      <x:c r="D15" s="2"/>
      <x:c r="E15" s="2"/>
      <x:c r="F15" s="21" t="n">
        <x:f>DCF!D34</x:f>
        <x:v>28.67238858757573</x:v>
      </x:c>
      <x:c r="G15" s="2"/>
      <x:c r="H15" s="2"/>
      <x:c r="I15" s="2"/>
      <x:c r="J15" s="2"/>
      <x:c r="K15" s="2"/>
    </x:row>
    <x:row r="16" ht="20" customHeight="1">
      <x:c r="A16" s="1"/>
      <x:c r="B16" s="1"/>
      <x:c r="C16" s="1" t="str">
        <x:v>PV terminal / enterprise value</x:v>
      </x:c>
      <x:c r="D16" s="2"/>
      <x:c r="E16" s="2"/>
      <x:c r="F16" s="15" t="n">
        <x:f>DCF!D35</x:f>
        <x:v>0.7445151725556299</x:v>
      </x:c>
      <x:c r="G16" s="2"/>
      <x:c r="H16" s="2"/>
      <x:c r="I16" s="2"/>
      <x:c r="J16" s="2"/>
      <x:c r="K16" s="2"/>
    </x:row>
    <x:row r="17" ht="20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"/>
      <x:c r="B18" s="1"/>
      <x:c r="C18" s="1" t="str">
        <x:v>Discount rate</x:v>
      </x:c>
      <x:c r="D18" s="2"/>
      <x:c r="E18" s="2"/>
      <x:c r="F18" s="15" t="n">
        <x:f>DCF!D6</x:f>
        <x:v>0.1</x:v>
      </x:c>
      <x:c r="G18" s="2"/>
      <x:c r="H18" s="2"/>
      <x:c r="I18" s="2"/>
      <x:c r="J18" s="2"/>
      <x:c r="K18" s="2"/>
    </x:row>
    <x:row r="19" ht="20" customHeight="1">
      <x:c r="A19" s="1"/>
      <x:c r="B19" s="1"/>
      <x:c r="C19" s="1" t="str">
        <x:v>Terminal growth</x:v>
      </x:c>
      <x:c r="D19" s="2"/>
      <x:c r="E19" s="2"/>
      <x:c r="F19" s="15" t="n">
        <x:f>DCF!D7</x:f>
        <x:v>0.025</x:v>
      </x:c>
      <x:c r="G19" s="2"/>
      <x:c r="H19" s="2"/>
      <x:c r="I19" s="2"/>
      <x:c r="J19" s="2"/>
      <x:c r="K19" s="2"/>
    </x:row>
    <x:row r="20" ht="20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</x:row>
    <x:row r="21" ht="20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</x:row>
    <x:row r="22" ht="20" customHeight="1">
      <x:c r="A22" s="1"/>
      <x:c r="B22" s="1"/>
      <x:c r="C22" s="1" t="str">
        <x:v>Operating outlook</x:v>
      </x:c>
      <x:c r="D22" s="2" t="str">
        <x:v>2025A</x:v>
      </x:c>
      <x:c r="E22" s="2" t="str">
        <x:v>2026E</x:v>
      </x:c>
      <x:c r="F22" s="2" t="str">
        <x:v>2027E</x:v>
      </x:c>
      <x:c r="G22" s="2" t="str">
        <x:v>2028E</x:v>
      </x:c>
      <x:c r="H22" s="2" t="str">
        <x:v>2029E</x:v>
      </x:c>
      <x:c r="I22" s="2" t="str">
        <x:v>2030E</x:v>
      </x:c>
      <x:c r="J22" s="2"/>
      <x:c r="K22" s="2"/>
    </x:row>
    <x:row r="23" ht="20" customHeight="1">
      <x:c r="A23" s="1"/>
      <x:c r="B23" s="1"/>
      <x:c r="C23" s="1" t="str">
        <x:v>Revenue</x:v>
      </x:c>
      <x:c r="D23" s="4" t="n">
        <x:f>Operating!F9</x:f>
        <x:v>1174.267</x:v>
      </x:c>
      <x:c r="E23" s="4" t="n">
        <x:f>Operating!G9</x:f>
        <x:v>1232.5</x:v>
      </x:c>
      <x:c r="F23" s="4" t="n">
        <x:f>Operating!H9</x:f>
        <x:v>1318.775</x:v>
      </x:c>
      <x:c r="G23" s="4" t="n">
        <x:f>Operating!I9</x:f>
        <x:v>1424.2770000000003</x:v>
      </x:c>
      <x:c r="H23" s="4" t="n">
        <x:f>Operating!J9</x:f>
        <x:v>1538.2191600000003</x:v>
      </x:c>
      <x:c r="I23" s="4" t="n">
        <x:f>Operating!K9</x:f>
        <x:v>1645.8945012000004</x:v>
      </x:c>
      <x:c r="J23" s="2"/>
      <x:c r="K23" s="2"/>
    </x:row>
    <x:row r="24" ht="20" customHeight="1">
      <x:c r="A24" s="1"/>
      <x:c r="B24" s="1"/>
      <x:c r="C24" s="1" t="str">
        <x:v>Unadjusted EBITDA</x:v>
      </x:c>
      <x:c r="D24" s="4" t="n">
        <x:f>Operating!F12</x:f>
        <x:v>320.918</x:v>
      </x:c>
      <x:c r="E24" s="4" t="n">
        <x:f>Operating!G12</x:f>
        <x:v>335.00000000000006</x:v>
      </x:c>
      <x:c r="F24" s="4" t="n">
        <x:f>Operating!H12</x:f>
        <x:v>369.25700000000006</x:v>
      </x:c>
      <x:c r="G24" s="4" t="n">
        <x:f>Operating!I12</x:f>
        <x:v>413.04033000000004</x:v>
      </x:c>
      <x:c r="H24" s="4" t="n">
        <x:f>Operating!J12</x:f>
        <x:v>461.4657480000001</x:v>
      </x:c>
      <x:c r="I24" s="4" t="n">
        <x:f>Operating!K12</x:f>
        <x:v>493.7683503600001</x:v>
      </x:c>
      <x:c r="J24" s="2"/>
      <x:c r="K24" s="2"/>
    </x:row>
    <x:row r="25" ht="20" customHeight="1">
      <x:c r="A25" s="1"/>
      <x:c r="B25" s="1"/>
      <x:c r="C25" s="1" t="str">
        <x:v>EBITDA margin</x:v>
      </x:c>
      <x:c r="D25" s="15" t="n">
        <x:f>Operating!F13</x:f>
        <x:v>0.2732921899363603</x:v>
      </x:c>
      <x:c r="E25" s="15" t="n">
        <x:f>Operating!G13</x:f>
        <x:v>0.2718052738336714</x:v>
      </x:c>
      <x:c r="F25" s="15" t="n">
        <x:f>Operating!H13</x:f>
        <x:v>0.28</x:v>
      </x:c>
      <x:c r="G25" s="15" t="n">
        <x:f>Operating!I13</x:f>
        <x:v>0.29</x:v>
      </x:c>
      <x:c r="H25" s="15" t="n">
        <x:f>Operating!J13</x:f>
        <x:v>0.3</x:v>
      </x:c>
      <x:c r="I25" s="15" t="n">
        <x:f>Operating!K13</x:f>
        <x:v>0.3</x:v>
      </x:c>
      <x:c r="J25" s="2"/>
      <x:c r="K25" s="2"/>
    </x:row>
    <x:row r="26" ht="20" customHeight="1">
      <x:c r="A26" s="1"/>
      <x:c r="B26" s="1"/>
      <x:c r="C26" s="1" t="str">
        <x:v>Normalized annual FCFF</x:v>
      </x:c>
      <x:c r="D26" s="4" t="n">
        <x:f>Operating!F26</x:f>
        <x:v>97.98699999999997</x:v>
      </x:c>
      <x:c r="E26" s="4" t="n">
        <x:f>Operating!G26</x:f>
        <x:v>146.31205000000008</x:v>
      </x:c>
      <x:c r="F26" s="4" t="n">
        <x:f>Operating!H26</x:f>
        <x:v>182.072603125</x:v>
      </x:c>
      <x:c r="G26" s="4" t="n">
        <x:f>Operating!I26</x:f>
        <x:v>218.41485611250005</x:v>
      </x:c>
      <x:c r="H26" s="4" t="n">
        <x:f>Operating!J26</x:f>
        <x:v>246.42484584750002</x:v>
      </x:c>
      <x:c r="I26" s="4" t="n">
        <x:f>Operating!K26</x:f>
        <x:v>264.94690594369507</x:v>
      </x:c>
      <x:c r="J26" s="2"/>
      <x:c r="K26" s="2"/>
    </x:row>
    <x:row r="27" ht="20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</x:row>
    <x:row r="28" ht="20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</x:row>
    <x:row r="29" ht="20" customHeight="1">
      <x:c r="A29" s="1"/>
      <x:c r="B29" s="1"/>
      <x:c r="C29" s="7" t="str">
        <x:v>The case tests whether post-expansion cash generation can support value despite weak housing demand.</x:v>
      </x:c>
      <x:c r="D29" s="8"/>
      <x:c r="E29" s="8"/>
      <x:c r="F29" s="8"/>
      <x:c r="G29" s="8"/>
      <x:c r="H29" s="8"/>
      <x:c r="I29" s="8"/>
      <x:c r="J29" s="8"/>
      <x:c r="K29" s="8"/>
    </x:row>
    <x:row r="30" ht="20" customHeight="1">
      <x:c r="A30" s="1"/>
      <x:c r="B30" s="1"/>
      <x:c r="C30" s="7" t="str">
        <x:v>Primary drivers: sales growth, margin recovery, normalized capital expenditure and terminal assumptions.</x:v>
      </x:c>
      <x:c r="D30" s="8"/>
      <x:c r="E30" s="8"/>
      <x:c r="F30" s="8"/>
      <x:c r="G30" s="8"/>
      <x:c r="H30" s="8"/>
      <x:c r="I30" s="8"/>
      <x:c r="J30" s="8"/>
      <x:c r="K30" s="8"/>
    </x:row>
    <x:row r="31" ht="20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</x:row>
    <x:row r="32" ht="20" customHeight="1">
      <x:c r="A32" s="1"/>
      <x:c r="B32" s="1"/>
      <x:c r="C32" s="7" t="str">
        <x:v>Forecast, WACC and terminal inputs require review. No current price target or implied upside is presented.</x:v>
      </x:c>
      <x:c r="D32" s="8"/>
      <x:c r="E32" s="8"/>
      <x:c r="F32" s="8"/>
      <x:c r="G32" s="8"/>
      <x:c r="H32" s="8"/>
      <x:c r="I32" s="8"/>
      <x:c r="J32" s="8"/>
      <x:c r="K32" s="8"/>
    </x:row>
    <x:row r="33" ht="20" customHeight="1">
      <x:c r="A33" s="1"/>
      <x:c r="B33" s="1"/>
      <x:c r="C33" s="7" t="str">
        <x:v>Use Assumptions D6 to switch cases. Blue numbers are editable; green links connect schedules.</x:v>
      </x:c>
      <x:c r="D33" s="8"/>
      <x:c r="E33" s="8"/>
      <x:c r="F33" s="8"/>
      <x:c r="G33" s="8"/>
      <x:c r="H33" s="8"/>
      <x:c r="I33" s="8"/>
      <x:c r="J33" s="8"/>
      <x:c r="K33" s="8"/>
    </x:row>
    <x:row r="34" ht="20" customHeight="1">
      <x:c r="A34" s="1"/>
      <x:c r="B34" s="1"/>
      <x:c r="C34" s="7" t="str">
        <x:v>Value is as of June 30 using later published information. It is not a contemporaneous historical valuation.</x:v>
      </x:c>
      <x:c r="D34" s="8"/>
      <x:c r="E34" s="8"/>
      <x:c r="F34" s="8"/>
      <x:c r="G34" s="8"/>
      <x:c r="H34" s="8"/>
      <x:c r="I34" s="8"/>
      <x:c r="J34" s="8"/>
      <x:c r="K34" s="8"/>
    </x:row>
    <x:row r="35" ht="20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</x:row>
    <x:row r="36" ht="20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</x:row>
    <x:row r="37" ht="20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</x:row>
    <x:row r="39" ht="20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</x:row>
    <x:row r="40" ht="20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</x:row>
    <x:row r="41" ht="20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</x:row>
    <x:row r="42" ht="20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</x:row>
    <x:row r="43" ht="20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</x:row>
    <x:row r="44" ht="20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</x:row>
    <x:row r="45" ht="20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</x:row>
    <x:row r="46" ht="20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</x:row>
    <x:row r="47" ht="20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</x:row>
    <x:row r="48" ht="20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</x:row>
    <x:row r="49" ht="20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</x:row>
    <x:row r="50" ht="20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</x:row>
    <x:row r="51" ht="20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</x:row>
    <x:row r="52" ht="20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</x:row>
    <x:row r="53" ht="20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0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0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0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</x:row>
    <x:row r="60" ht="20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</x:row>
    <x:row r="62" ht="20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</x:row>
    <x:row r="64" ht="20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</x:row>
    <x:row r="67" ht="20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6666"/>
  </x:sheetPr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Assumptions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 t="str">
        <x:v>Case selector (1 Base; 2 Downside)</x:v>
      </x:c>
      <x:c r="D6" s="36" t="n">
        <x:v>1</x:v>
      </x:c>
      <x:c r="E6" s="2"/>
      <x:c r="F6" s="2"/>
      <x:c r="G6" s="2"/>
      <x:c r="H6" s="2"/>
      <x:c r="I6" s="2"/>
      <x:c r="J6" s="2"/>
      <x:c r="K6" s="2"/>
    </x:row>
    <x:row r="7" ht="20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</x:row>
    <x:row r="8" ht="20" customHeight="1">
      <x:c r="A8" s="1"/>
      <x:c r="B8" s="1"/>
      <x:c r="C8" s="27" t="str">
        <x:v>Forecast year</x:v>
      </x:c>
      <x:c r="D8" s="35" t="n">
        <x:v>2026</x:v>
      </x:c>
      <x:c r="E8" s="35" t="n">
        <x:v>2027</x:v>
      </x:c>
      <x:c r="F8" s="35" t="n">
        <x:v>2028</x:v>
      </x:c>
      <x:c r="G8" s="35" t="n">
        <x:v>2029</x:v>
      </x:c>
      <x:c r="H8" s="35" t="n">
        <x:v>2030</x:v>
      </x:c>
      <x:c r="I8" s="35"/>
      <x:c r="J8" s="35"/>
      <x:c r="K8" s="35"/>
    </x:row>
    <x:row r="9" ht="20" customHeight="1">
      <x:c r="A9" s="1"/>
      <x:c r="B9" s="1"/>
      <x:c r="C9" s="1"/>
      <x:c r="D9" s="2"/>
      <x:c r="E9" s="2"/>
      <x:c r="F9" s="2"/>
      <x:c r="G9" s="2"/>
      <x:c r="H9" s="2"/>
      <x:c r="I9" s="2"/>
      <x:c r="J9" s="2"/>
      <x:c r="K9" s="2"/>
    </x:row>
    <x:row r="10" ht="20" customHeight="1">
      <x:c r="A10" s="1"/>
      <x:c r="B10" s="1"/>
      <x:c r="C10" s="10" t="str">
        <x:v>Revenue growth — active</x:v>
      </x:c>
      <x:c r="D10" s="12" t="n">
        <x:f>IF(CHOOSE($D$6,ISNUMBER(D11),ISNUMBER(D12)),CHOOSE($D$6,D11,D12),NA())</x:f>
        <x:v>0.04959093630324274</x:v>
      </x:c>
      <x:c r="E10" s="12" t="n">
        <x:f>IF(CHOOSE($D$6,ISNUMBER(E11),ISNUMBER(E12)),CHOOSE($D$6,E11,E12),NA())</x:f>
        <x:v>0.07</x:v>
      </x:c>
      <x:c r="F10" s="12" t="n">
        <x:f>IF(CHOOSE($D$6,ISNUMBER(F11),ISNUMBER(F12)),CHOOSE($D$6,F11,F12),NA())</x:f>
        <x:v>0.08</x:v>
      </x:c>
      <x:c r="G10" s="12" t="n">
        <x:f>IF(CHOOSE($D$6,ISNUMBER(G11),ISNUMBER(G12)),CHOOSE($D$6,G11,G12),NA())</x:f>
        <x:v>0.08</x:v>
      </x:c>
      <x:c r="H10" s="12" t="n">
        <x:f>IF(CHOOSE($D$6,ISNUMBER(H11),ISNUMBER(H12)),CHOOSE($D$6,H11,H12),NA())</x:f>
        <x:v>0.07</x:v>
      </x:c>
      <x:c r="I10" s="2"/>
      <x:c r="J10" s="2"/>
      <x:c r="K10" s="2"/>
    </x:row>
    <x:row r="11" ht="20" customHeight="1">
      <x:c r="A11" s="1"/>
      <x:c r="B11" s="1"/>
      <x:c r="C11" s="1" t="str">
        <x:v>Base</x:v>
      </x:c>
      <x:c r="D11" s="14" t="n">
        <x:v>0.04959093630324274</x:v>
      </x:c>
      <x:c r="E11" s="14" t="n">
        <x:v>0.07</x:v>
      </x:c>
      <x:c r="F11" s="14" t="n">
        <x:v>0.08</x:v>
      </x:c>
      <x:c r="G11" s="14" t="n">
        <x:v>0.08</x:v>
      </x:c>
      <x:c r="H11" s="14" t="n">
        <x:v>0.07</x:v>
      </x:c>
      <x:c r="I11" s="2"/>
      <x:c r="J11" s="2"/>
      <x:c r="K11" s="2"/>
    </x:row>
    <x:row r="12" ht="20" customHeight="1">
      <x:c r="A12" s="1"/>
      <x:c r="B12" s="1"/>
      <x:c r="C12" s="1" t="str">
        <x:v>Downside</x:v>
      </x:c>
      <x:c r="D12" s="14" t="n">
        <x:v>0.034688022400356955</x:v>
      </x:c>
      <x:c r="E12" s="14" t="n">
        <x:v>0.03</x:v>
      </x:c>
      <x:c r="F12" s="14" t="n">
        <x:v>0.04</x:v>
      </x:c>
      <x:c r="G12" s="14" t="n">
        <x:v>0.04</x:v>
      </x:c>
      <x:c r="H12" s="14" t="n">
        <x:v>0.04</x:v>
      </x:c>
      <x:c r="I12" s="2"/>
      <x:c r="J12" s="2"/>
      <x:c r="K12" s="2"/>
    </x:row>
    <x:row r="13" ht="20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</x:row>
    <x:row r="14" ht="20" customHeight="1">
      <x:c r="A14" s="1"/>
      <x:c r="B14" s="1"/>
      <x:c r="C14" s="10" t="str">
        <x:v>Unadjusted EBITDA margin — active</x:v>
      </x:c>
      <x:c r="D14" s="12" t="n">
        <x:f>IF(CHOOSE($D$6,ISNUMBER(D15),ISNUMBER(D16)),CHOOSE($D$6,D15,D16),NA())</x:f>
        <x:v>0.2718052738336714</x:v>
      </x:c>
      <x:c r="E14" s="12" t="n">
        <x:f>IF(CHOOSE($D$6,ISNUMBER(E15),ISNUMBER(E16)),CHOOSE($D$6,E15,E16),NA())</x:f>
        <x:v>0.28</x:v>
      </x:c>
      <x:c r="F14" s="12" t="n">
        <x:f>IF(CHOOSE($D$6,ISNUMBER(F15),ISNUMBER(F16)),CHOOSE($D$6,F15,F16),NA())</x:f>
        <x:v>0.29</x:v>
      </x:c>
      <x:c r="G14" s="12" t="n">
        <x:f>IF(CHOOSE($D$6,ISNUMBER(G15),ISNUMBER(G16)),CHOOSE($D$6,G15,G16),NA())</x:f>
        <x:v>0.3</x:v>
      </x:c>
      <x:c r="H14" s="12" t="n">
        <x:f>IF(CHOOSE($D$6,ISNUMBER(H15),ISNUMBER(H16)),CHOOSE($D$6,H15,H16),NA())</x:f>
        <x:v>0.3</x:v>
      </x:c>
      <x:c r="I14" s="2"/>
      <x:c r="J14" s="2"/>
      <x:c r="K14" s="2"/>
    </x:row>
    <x:row r="15" ht="20" customHeight="1">
      <x:c r="A15" s="1"/>
      <x:c r="B15" s="1"/>
      <x:c r="C15" s="1" t="str">
        <x:v>Base</x:v>
      </x:c>
      <x:c r="D15" s="14" t="n">
        <x:v>0.2718052738336714</x:v>
      </x:c>
      <x:c r="E15" s="14" t="n">
        <x:v>0.28</x:v>
      </x:c>
      <x:c r="F15" s="14" t="n">
        <x:v>0.29</x:v>
      </x:c>
      <x:c r="G15" s="14" t="n">
        <x:v>0.3</x:v>
      </x:c>
      <x:c r="H15" s="14" t="n">
        <x:v>0.3</x:v>
      </x:c>
      <x:c r="I15" s="2"/>
      <x:c r="J15" s="2"/>
      <x:c r="K15" s="2"/>
    </x:row>
    <x:row r="16" ht="20" customHeight="1">
      <x:c r="A16" s="1"/>
      <x:c r="B16" s="1"/>
      <x:c r="C16" s="1" t="str">
        <x:v>Downside</x:v>
      </x:c>
      <x:c r="D16" s="14" t="n">
        <x:v>0.2551440329218107</x:v>
      </x:c>
      <x:c r="E16" s="14" t="n">
        <x:v>0.25</x:v>
      </x:c>
      <x:c r="F16" s="14" t="n">
        <x:v>0.255</x:v>
      </x:c>
      <x:c r="G16" s="14" t="n">
        <x:v>0.26</x:v>
      </x:c>
      <x:c r="H16" s="14" t="n">
        <x:v>0.265</x:v>
      </x:c>
      <x:c r="I16" s="2"/>
      <x:c r="J16" s="2"/>
      <x:c r="K16" s="2"/>
    </x:row>
    <x:row r="17" ht="20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"/>
      <x:c r="B18" s="1"/>
      <x:c r="C18" s="10" t="str">
        <x:v>D&amp;A / sales — active</x:v>
      </x:c>
      <x:c r="D18" s="12" t="n">
        <x:f>IF(CHOOSE($D$6,ISNUMBER(D19),ISNUMBER(D20)),CHOOSE($D$6,D19,D20),NA())</x:f>
        <x:v>0.06896551724137931</x:v>
      </x:c>
      <x:c r="E18" s="12" t="n">
        <x:f>IF(CHOOSE($D$6,ISNUMBER(E19),ISNUMBER(E20)),CHOOSE($D$6,E19,E20),NA())</x:f>
        <x:v>0.07</x:v>
      </x:c>
      <x:c r="F18" s="12" t="n">
        <x:f>IF(CHOOSE($D$6,ISNUMBER(F19),ISNUMBER(F20)),CHOOSE($D$6,F19,F20),NA())</x:f>
        <x:v>0.067</x:v>
      </x:c>
      <x:c r="G18" s="12" t="n">
        <x:f>IF(CHOOSE($D$6,ISNUMBER(G19),ISNUMBER(G20)),CHOOSE($D$6,G19,G20),NA())</x:f>
        <x:v>0.065</x:v>
      </x:c>
      <x:c r="H18" s="12" t="n">
        <x:f>IF(CHOOSE($D$6,ISNUMBER(H19),ISNUMBER(H20)),CHOOSE($D$6,H19,H20),NA())</x:f>
        <x:v>0.063</x:v>
      </x:c>
      <x:c r="I18" s="2"/>
      <x:c r="J18" s="2"/>
      <x:c r="K18" s="2"/>
    </x:row>
    <x:row r="19" ht="20" customHeight="1">
      <x:c r="A19" s="1"/>
      <x:c r="B19" s="1"/>
      <x:c r="C19" s="1" t="str">
        <x:v>Base</x:v>
      </x:c>
      <x:c r="D19" s="14" t="n">
        <x:v>0.06896551724137931</x:v>
      </x:c>
      <x:c r="E19" s="14" t="n">
        <x:v>0.07</x:v>
      </x:c>
      <x:c r="F19" s="14" t="n">
        <x:v>0.067</x:v>
      </x:c>
      <x:c r="G19" s="14" t="n">
        <x:v>0.065</x:v>
      </x:c>
      <x:c r="H19" s="14" t="n">
        <x:v>0.063</x:v>
      </x:c>
      <x:c r="I19" s="2"/>
      <x:c r="J19" s="2"/>
      <x:c r="K19" s="2"/>
    </x:row>
    <x:row r="20" ht="20" customHeight="1">
      <x:c r="A20" s="1"/>
      <x:c r="B20" s="1"/>
      <x:c r="C20" s="1" t="str">
        <x:v>Downside</x:v>
      </x:c>
      <x:c r="D20" s="14" t="n">
        <x:v>0.06995884773662552</x:v>
      </x:c>
      <x:c r="E20" s="14" t="n">
        <x:v>0.075</x:v>
      </x:c>
      <x:c r="F20" s="14" t="n">
        <x:v>0.073</x:v>
      </x:c>
      <x:c r="G20" s="14" t="n">
        <x:v>0.07</x:v>
      </x:c>
      <x:c r="H20" s="14" t="n">
        <x:v>0.068</x:v>
      </x:c>
      <x:c r="I20" s="2"/>
      <x:c r="J20" s="2"/>
      <x:c r="K20" s="2"/>
    </x:row>
    <x:row r="21" ht="20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</x:row>
    <x:row r="22" ht="20" customHeight="1">
      <x:c r="A22" s="1"/>
      <x:c r="B22" s="1"/>
      <x:c r="C22" s="10" t="str">
        <x:v>Effective tax rate — active</x:v>
      </x:c>
      <x:c r="D22" s="12" t="n">
        <x:f>IF(CHOOSE($D$6,ISNUMBER(D23),ISNUMBER(D24)),CHOOSE($D$6,D23,D24),NA())</x:f>
        <x:v>0.2625</x:v>
      </x:c>
      <x:c r="E22" s="12" t="n">
        <x:f>IF(CHOOSE($D$6,ISNUMBER(E23),ISNUMBER(E24)),CHOOSE($D$6,E23,E24),NA())</x:f>
        <x:v>0.2625</x:v>
      </x:c>
      <x:c r="F22" s="12" t="n">
        <x:f>IF(CHOOSE($D$6,ISNUMBER(F23),ISNUMBER(F24)),CHOOSE($D$6,F23,F24),NA())</x:f>
        <x:v>0.2625</x:v>
      </x:c>
      <x:c r="G22" s="12" t="n">
        <x:f>IF(CHOOSE($D$6,ISNUMBER(G23),ISNUMBER(G24)),CHOOSE($D$6,G23,G24),NA())</x:f>
        <x:v>0.2625</x:v>
      </x:c>
      <x:c r="H22" s="12" t="n">
        <x:f>IF(CHOOSE($D$6,ISNUMBER(H23),ISNUMBER(H24)),CHOOSE($D$6,H23,H24),NA())</x:f>
        <x:v>0.2625</x:v>
      </x:c>
      <x:c r="I22" s="2"/>
      <x:c r="J22" s="2"/>
      <x:c r="K22" s="2"/>
    </x:row>
    <x:row r="23" ht="20" customHeight="1">
      <x:c r="A23" s="1"/>
      <x:c r="B23" s="1"/>
      <x:c r="C23" s="1" t="str">
        <x:v>Base</x:v>
      </x:c>
      <x:c r="D23" s="14" t="n">
        <x:v>0.2625</x:v>
      </x:c>
      <x:c r="E23" s="14" t="n">
        <x:v>0.2625</x:v>
      </x:c>
      <x:c r="F23" s="14" t="n">
        <x:v>0.2625</x:v>
      </x:c>
      <x:c r="G23" s="14" t="n">
        <x:v>0.2625</x:v>
      </x:c>
      <x:c r="H23" s="14" t="n">
        <x:v>0.2625</x:v>
      </x:c>
      <x:c r="I23" s="2"/>
      <x:c r="J23" s="2"/>
      <x:c r="K23" s="2"/>
    </x:row>
    <x:row r="24" ht="20" customHeight="1">
      <x:c r="A24" s="1"/>
      <x:c r="B24" s="1"/>
      <x:c r="C24" s="1" t="str">
        <x:v>Downside</x:v>
      </x:c>
      <x:c r="D24" s="14" t="n">
        <x:v>0.27</x:v>
      </x:c>
      <x:c r="E24" s="14" t="n">
        <x:v>0.27</x:v>
      </x:c>
      <x:c r="F24" s="14" t="n">
        <x:v>0.27</x:v>
      </x:c>
      <x:c r="G24" s="14" t="n">
        <x:v>0.27</x:v>
      </x:c>
      <x:c r="H24" s="14" t="n">
        <x:v>0.27</x:v>
      </x:c>
      <x:c r="I24" s="2"/>
      <x:c r="J24" s="2"/>
      <x:c r="K24" s="2"/>
    </x:row>
    <x:row r="25" ht="20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</x:row>
    <x:row r="26" ht="20" customHeight="1">
      <x:c r="A26" s="1"/>
      <x:c r="B26" s="1"/>
      <x:c r="C26" s="10" t="str">
        <x:v>PP&amp;E cash capex / sales — active</x:v>
      </x:c>
      <x:c r="D26" s="12" t="n">
        <x:f>IF(CHOOSE($D$6,ISNUMBER(D27),ISNUMBER(D28)),CHOOSE($D$6,D27,D28),NA())</x:f>
        <x:v>0.08924949290060852</x:v>
      </x:c>
      <x:c r="E26" s="12" t="n">
        <x:f>IF(CHOOSE($D$6,ISNUMBER(E27),ISNUMBER(E28)),CHOOSE($D$6,E27,E28),NA())</x:f>
        <x:v>0.07</x:v>
      </x:c>
      <x:c r="F26" s="12" t="n">
        <x:f>IF(CHOOSE($D$6,ISNUMBER(F27),ISNUMBER(F28)),CHOOSE($D$6,F27,F28),NA())</x:f>
        <x:v>0.06</x:v>
      </x:c>
      <x:c r="G26" s="12" t="n">
        <x:f>IF(CHOOSE($D$6,ISNUMBER(G27),ISNUMBER(G28)),CHOOSE($D$6,G27,G28),NA())</x:f>
        <x:v>0.06</x:v>
      </x:c>
      <x:c r="H26" s="12" t="n">
        <x:f>IF(CHOOSE($D$6,ISNUMBER(H27),ISNUMBER(H28)),CHOOSE($D$6,H27,H28),NA())</x:f>
        <x:v>0.06</x:v>
      </x:c>
      <x:c r="I26" s="2"/>
      <x:c r="J26" s="2"/>
      <x:c r="K26" s="2"/>
    </x:row>
    <x:row r="27" ht="20" customHeight="1">
      <x:c r="A27" s="1"/>
      <x:c r="B27" s="1"/>
      <x:c r="C27" s="1" t="str">
        <x:v>Base</x:v>
      </x:c>
      <x:c r="D27" s="14" t="n">
        <x:v>0.08924949290060852</x:v>
      </x:c>
      <x:c r="E27" s="14" t="n">
        <x:v>0.07</x:v>
      </x:c>
      <x:c r="F27" s="14" t="n">
        <x:v>0.06</x:v>
      </x:c>
      <x:c r="G27" s="14" t="n">
        <x:v>0.06</x:v>
      </x:c>
      <x:c r="H27" s="14" t="n">
        <x:v>0.06</x:v>
      </x:c>
      <x:c r="I27" s="2"/>
      <x:c r="J27" s="2"/>
      <x:c r="K27" s="2"/>
    </x:row>
    <x:row r="28" ht="20" customHeight="1">
      <x:c r="A28" s="1"/>
      <x:c r="B28" s="1"/>
      <x:c r="C28" s="1" t="str">
        <x:v>Downside</x:v>
      </x:c>
      <x:c r="D28" s="14" t="n">
        <x:v>0.09876543209876543</x:v>
      </x:c>
      <x:c r="E28" s="14" t="n">
        <x:v>0.08</x:v>
      </x:c>
      <x:c r="F28" s="14" t="n">
        <x:v>0.07</x:v>
      </x:c>
      <x:c r="G28" s="14" t="n">
        <x:v>0.065</x:v>
      </x:c>
      <x:c r="H28" s="14" t="n">
        <x:v>0.065</x:v>
      </x:c>
      <x:c r="I28" s="2"/>
      <x:c r="J28" s="2"/>
      <x:c r="K28" s="2"/>
    </x:row>
    <x:row r="29" ht="20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</x:row>
    <x:row r="30" ht="20" customHeight="1">
      <x:c r="A30" s="1"/>
      <x:c r="B30" s="1"/>
      <x:c r="C30" s="10" t="str">
        <x:v>Intangible investment / sales — active</x:v>
      </x:c>
      <x:c r="D30" s="12" t="n">
        <x:f>IF(CHOOSE($D$6,ISNUMBER(D31),ISNUMBER(D32)),CHOOSE($D$6,D31,D32),NA())</x:f>
        <x:v>0.007302231237322515</x:v>
      </x:c>
      <x:c r="E30" s="12" t="n">
        <x:f>IF(CHOOSE($D$6,ISNUMBER(E31),ISNUMBER(E32)),CHOOSE($D$6,E31,E32),NA())</x:f>
        <x:v>0.007</x:v>
      </x:c>
      <x:c r="F30" s="12" t="n">
        <x:f>IF(CHOOSE($D$6,ISNUMBER(F31),ISNUMBER(F32)),CHOOSE($D$6,F31,F32),NA())</x:f>
        <x:v>0.007</x:v>
      </x:c>
      <x:c r="G30" s="12" t="n">
        <x:f>IF(CHOOSE($D$6,ISNUMBER(G31),ISNUMBER(G32)),CHOOSE($D$6,G31,G32),NA())</x:f>
        <x:v>0.007</x:v>
      </x:c>
      <x:c r="H30" s="12" t="n">
        <x:f>IF(CHOOSE($D$6,ISNUMBER(H31),ISNUMBER(H32)),CHOOSE($D$6,H31,H32),NA())</x:f>
        <x:v>0.007</x:v>
      </x:c>
      <x:c r="I30" s="2"/>
      <x:c r="J30" s="2"/>
      <x:c r="K30" s="2"/>
    </x:row>
    <x:row r="31" ht="20" customHeight="1">
      <x:c r="A31" s="1"/>
      <x:c r="B31" s="1"/>
      <x:c r="C31" s="1" t="str">
        <x:v>Base</x:v>
      </x:c>
      <x:c r="D31" s="14" t="n">
        <x:v>0.007302231237322515</x:v>
      </x:c>
      <x:c r="E31" s="14" t="n">
        <x:v>0.007</x:v>
      </x:c>
      <x:c r="F31" s="14" t="n">
        <x:v>0.007</x:v>
      </x:c>
      <x:c r="G31" s="14" t="n">
        <x:v>0.007</x:v>
      </x:c>
      <x:c r="H31" s="14" t="n">
        <x:v>0.007</x:v>
      </x:c>
      <x:c r="I31" s="2"/>
      <x:c r="J31" s="2"/>
      <x:c r="K31" s="2"/>
    </x:row>
    <x:row r="32" ht="20" customHeight="1">
      <x:c r="A32" s="1"/>
      <x:c r="B32" s="1"/>
      <x:c r="C32" s="1" t="str">
        <x:v>Downside</x:v>
      </x:c>
      <x:c r="D32" s="14" t="n">
        <x:v>0.007407407407407408</x:v>
      </x:c>
      <x:c r="E32" s="14" t="n">
        <x:v>0.007</x:v>
      </x:c>
      <x:c r="F32" s="14" t="n">
        <x:v>0.007</x:v>
      </x:c>
      <x:c r="G32" s="14" t="n">
        <x:v>0.007</x:v>
      </x:c>
      <x:c r="H32" s="14" t="n">
        <x:v>0.007</x:v>
      </x:c>
      <x:c r="I32" s="2"/>
      <x:c r="J32" s="2"/>
      <x:c r="K32" s="2"/>
    </x:row>
    <x:row r="33" ht="20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</x:row>
    <x:row r="34" ht="20" customHeight="1">
      <x:c r="A34" s="1"/>
      <x:c r="B34" s="1"/>
      <x:c r="C34" s="10" t="str">
        <x:v>Operating WC / incremental sales — active</x:v>
      </x:c>
      <x:c r="D34" s="12" t="n">
        <x:f>IF(CHOOSE($D$6,ISNUMBER(D35),ISNUMBER(D36)),CHOOSE($D$6,D35,D36),NA())</x:f>
        <x:v>0.15</x:v>
      </x:c>
      <x:c r="E34" s="12" t="n">
        <x:f>IF(CHOOSE($D$6,ISNUMBER(E35),ISNUMBER(E36)),CHOOSE($D$6,E35,E36),NA())</x:f>
        <x:v>0.15</x:v>
      </x:c>
      <x:c r="F34" s="12" t="n">
        <x:f>IF(CHOOSE($D$6,ISNUMBER(F35),ISNUMBER(F36)),CHOOSE($D$6,F35,F36),NA())</x:f>
        <x:v>0.15</x:v>
      </x:c>
      <x:c r="G34" s="12" t="n">
        <x:f>IF(CHOOSE($D$6,ISNUMBER(G35),ISNUMBER(G36)),CHOOSE($D$6,G35,G36),NA())</x:f>
        <x:v>0.15</x:v>
      </x:c>
      <x:c r="H34" s="12" t="n">
        <x:f>IF(CHOOSE($D$6,ISNUMBER(H35),ISNUMBER(H36)),CHOOSE($D$6,H35,H36),NA())</x:f>
        <x:v>0.15</x:v>
      </x:c>
      <x:c r="I34" s="2"/>
      <x:c r="J34" s="2"/>
      <x:c r="K34" s="2"/>
    </x:row>
    <x:row r="35" ht="20" customHeight="1">
      <x:c r="A35" s="1"/>
      <x:c r="B35" s="1"/>
      <x:c r="C35" s="1" t="str">
        <x:v>Base</x:v>
      </x:c>
      <x:c r="D35" s="14" t="n">
        <x:v>0.15</x:v>
      </x:c>
      <x:c r="E35" s="14" t="n">
        <x:v>0.15</x:v>
      </x:c>
      <x:c r="F35" s="14" t="n">
        <x:v>0.15</x:v>
      </x:c>
      <x:c r="G35" s="14" t="n">
        <x:v>0.15</x:v>
      </x:c>
      <x:c r="H35" s="14" t="n">
        <x:v>0.15</x:v>
      </x:c>
      <x:c r="I35" s="2"/>
      <x:c r="J35" s="2"/>
      <x:c r="K35" s="2"/>
    </x:row>
    <x:row r="36" ht="20" customHeight="1">
      <x:c r="A36" s="1"/>
      <x:c r="B36" s="1"/>
      <x:c r="C36" s="1" t="str">
        <x:v>Downside</x:v>
      </x:c>
      <x:c r="D36" s="14" t="n">
        <x:v>0.25</x:v>
      </x:c>
      <x:c r="E36" s="14" t="n">
        <x:v>0.25</x:v>
      </x:c>
      <x:c r="F36" s="14" t="n">
        <x:v>0.25</x:v>
      </x:c>
      <x:c r="G36" s="14" t="n">
        <x:v>0.25</x:v>
      </x:c>
      <x:c r="H36" s="14" t="n">
        <x:v>0.25</x:v>
      </x:c>
      <x:c r="I36" s="2"/>
      <x:c r="J36" s="2"/>
      <x:c r="K36" s="2"/>
    </x:row>
    <x:row r="37" ht="20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1"/>
      <x:c r="B38" s="1"/>
      <x:c r="C38" s="10" t="str">
        <x:v>SBC / sales (cash bridge only) — active</x:v>
      </x:c>
      <x:c r="D38" s="12" t="n">
        <x:f>IF(CHOOSE($D$6,ISNUMBER(D39),ISNUMBER(D40)),CHOOSE($D$6,D39,D40),NA())</x:f>
        <x:v>0.009</x:v>
      </x:c>
      <x:c r="E38" s="12" t="n">
        <x:f>IF(CHOOSE($D$6,ISNUMBER(E39),ISNUMBER(E40)),CHOOSE($D$6,E39,E40),NA())</x:f>
        <x:v>0.009</x:v>
      </x:c>
      <x:c r="F38" s="12" t="n">
        <x:f>IF(CHOOSE($D$6,ISNUMBER(F39),ISNUMBER(F40)),CHOOSE($D$6,F39,F40),NA())</x:f>
        <x:v>0.009</x:v>
      </x:c>
      <x:c r="G38" s="12" t="n">
        <x:f>IF(CHOOSE($D$6,ISNUMBER(G39),ISNUMBER(G40)),CHOOSE($D$6,G39,G40),NA())</x:f>
        <x:v>0.009</x:v>
      </x:c>
      <x:c r="H38" s="12" t="n">
        <x:f>IF(CHOOSE($D$6,ISNUMBER(H39),ISNUMBER(H40)),CHOOSE($D$6,H39,H40),NA())</x:f>
        <x:v>0.009</x:v>
      </x:c>
      <x:c r="I38" s="2"/>
      <x:c r="J38" s="2"/>
      <x:c r="K38" s="2"/>
    </x:row>
    <x:row r="39" ht="20" customHeight="1">
      <x:c r="A39" s="1"/>
      <x:c r="B39" s="1"/>
      <x:c r="C39" s="1" t="str">
        <x:v>Base</x:v>
      </x:c>
      <x:c r="D39" s="14" t="n">
        <x:v>0.009</x:v>
      </x:c>
      <x:c r="E39" s="14" t="n">
        <x:v>0.009</x:v>
      </x:c>
      <x:c r="F39" s="14" t="n">
        <x:v>0.009</x:v>
      </x:c>
      <x:c r="G39" s="14" t="n">
        <x:v>0.009</x:v>
      </x:c>
      <x:c r="H39" s="14" t="n">
        <x:v>0.009</x:v>
      </x:c>
      <x:c r="I39" s="2"/>
      <x:c r="J39" s="2"/>
      <x:c r="K39" s="2"/>
    </x:row>
    <x:row r="40" ht="20" customHeight="1">
      <x:c r="A40" s="1"/>
      <x:c r="B40" s="1"/>
      <x:c r="C40" s="1" t="str">
        <x:v>Downside</x:v>
      </x:c>
      <x:c r="D40" s="14" t="n">
        <x:v>0.01</x:v>
      </x:c>
      <x:c r="E40" s="14" t="n">
        <x:v>0.01</x:v>
      </x:c>
      <x:c r="F40" s="14" t="n">
        <x:v>0.01</x:v>
      </x:c>
      <x:c r="G40" s="14" t="n">
        <x:v>0.01</x:v>
      </x:c>
      <x:c r="H40" s="14" t="n">
        <x:v>0.01</x:v>
      </x:c>
      <x:c r="I40" s="2"/>
      <x:c r="J40" s="2"/>
      <x:c r="K40" s="2"/>
    </x:row>
    <x:row r="41" ht="20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</x:row>
    <x:row r="42" ht="20" customHeight="1">
      <x:c r="A42" s="1"/>
      <x:c r="B42" s="1"/>
      <x:c r="C42" s="10" t="str">
        <x:v>Net interest expense — active</x:v>
      </x:c>
      <x:c r="D42" s="11" t="n">
        <x:f>IF(CHOOSE($D$6,ISNUMBER(D43),ISNUMBER(D44)),CHOOSE($D$6,D43,D44),NA())</x:f>
        <x:v>9</x:v>
      </x:c>
      <x:c r="E42" s="11" t="n">
        <x:f>IF(CHOOSE($D$6,ISNUMBER(E43),ISNUMBER(E44)),CHOOSE($D$6,E43,E44),NA())</x:f>
        <x:v>13</x:v>
      </x:c>
      <x:c r="F42" s="11" t="n">
        <x:f>IF(CHOOSE($D$6,ISNUMBER(F43),ISNUMBER(F44)),CHOOSE($D$6,F43,F44),NA())</x:f>
        <x:v>13</x:v>
      </x:c>
      <x:c r="G42" s="11" t="n">
        <x:f>IF(CHOOSE($D$6,ISNUMBER(G43),ISNUMBER(G44)),CHOOSE($D$6,G43,G44),NA())</x:f>
        <x:v>13</x:v>
      </x:c>
      <x:c r="H42" s="11" t="n">
        <x:f>IF(CHOOSE($D$6,ISNUMBER(H43),ISNUMBER(H44)),CHOOSE($D$6,H43,H44),NA())</x:f>
        <x:v>13</x:v>
      </x:c>
      <x:c r="I42" s="2"/>
      <x:c r="J42" s="2"/>
      <x:c r="K42" s="2"/>
    </x:row>
    <x:row r="43" ht="20" customHeight="1">
      <x:c r="A43" s="1"/>
      <x:c r="B43" s="1"/>
      <x:c r="C43" s="1" t="str">
        <x:v>Base</x:v>
      </x:c>
      <x:c r="D43" s="9" t="n">
        <x:v>9</x:v>
      </x:c>
      <x:c r="E43" s="9" t="n">
        <x:v>13</x:v>
      </x:c>
      <x:c r="F43" s="9" t="n">
        <x:v>13</x:v>
      </x:c>
      <x:c r="G43" s="9" t="n">
        <x:v>13</x:v>
      </x:c>
      <x:c r="H43" s="9" t="n">
        <x:v>13</x:v>
      </x:c>
      <x:c r="I43" s="2"/>
      <x:c r="J43" s="2"/>
      <x:c r="K43" s="2"/>
    </x:row>
    <x:row r="44" ht="20" customHeight="1">
      <x:c r="A44" s="1"/>
      <x:c r="B44" s="1"/>
      <x:c r="C44" s="1" t="str">
        <x:v>Downside</x:v>
      </x:c>
      <x:c r="D44" s="9" t="n">
        <x:v>10</x:v>
      </x:c>
      <x:c r="E44" s="9" t="n">
        <x:v>15</x:v>
      </x:c>
      <x:c r="F44" s="9" t="n">
        <x:v>15</x:v>
      </x:c>
      <x:c r="G44" s="9" t="n">
        <x:v>15</x:v>
      </x:c>
      <x:c r="H44" s="9" t="n">
        <x:v>15</x:v>
      </x:c>
      <x:c r="I44" s="2"/>
      <x:c r="J44" s="2"/>
      <x:c r="K44" s="2"/>
    </x:row>
    <x:row r="45" ht="20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</x:row>
    <x:row r="46" ht="20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</x:row>
    <x:row r="47" ht="20" customHeight="1">
      <x:c r="A47" s="1"/>
      <x:c r="B47" s="1"/>
      <x:c r="C47" s="7" t="str">
        <x:v>All forecast inputs are analyst estimates. No consensus feed or bottom-up volume forecast.</x:v>
      </x:c>
      <x:c r="D47" s="8"/>
      <x:c r="E47" s="8"/>
      <x:c r="F47" s="8"/>
      <x:c r="G47" s="8"/>
      <x:c r="H47" s="8"/>
      <x:c r="I47" s="8"/>
      <x:c r="J47" s="8"/>
      <x:c r="K47" s="8"/>
    </x:row>
    <x:row r="48" ht="20" customHeight="1">
      <x:c r="A48" s="1"/>
      <x:c r="B48" s="1"/>
      <x:c r="C48" s="7" t="str">
        <x:v>Base FY2026: sales at guidance midpoint; EBITDA below adjusted guide to retain GAAP costs.</x:v>
      </x:c>
      <x:c r="D48" s="8"/>
      <x:c r="E48" s="8"/>
      <x:c r="F48" s="8"/>
      <x:c r="G48" s="8"/>
      <x:c r="H48" s="8"/>
      <x:c r="I48" s="8"/>
      <x:c r="J48" s="8"/>
      <x:c r="K48" s="8"/>
    </x:row>
    <x:row r="49" ht="20" customHeight="1">
      <x:c r="A49" s="1"/>
      <x:c r="B49" s="1"/>
      <x:c r="C49" s="7" t="str">
        <x:v>Add back $4.672m noncash H1 equipment charge only in FCFF; no further such charges assumed.</x:v>
      </x:c>
      <x:c r="D49" s="8"/>
      <x:c r="E49" s="8"/>
      <x:c r="F49" s="8"/>
      <x:c r="G49" s="8"/>
      <x:c r="H49" s="8"/>
      <x:c r="I49" s="8"/>
      <x:c r="J49" s="8"/>
      <x:c r="K49" s="8"/>
    </x:row>
    <x:row r="50" ht="20" customHeight="1">
      <x:c r="A50" s="1"/>
      <x:c r="B50" s="1"/>
      <x:c r="C50" s="7" t="str">
        <x:v>Downside: slower demand, delayed margin recovery, higher investment and working-capital intensity.</x:v>
      </x:c>
      <x:c r="D50" s="8"/>
      <x:c r="E50" s="8"/>
      <x:c r="F50" s="8"/>
      <x:c r="G50" s="8"/>
      <x:c r="H50" s="8"/>
      <x:c r="I50" s="8"/>
      <x:c r="J50" s="8"/>
      <x:c r="K50" s="8"/>
    </x:row>
    <x:row r="51" ht="20" customHeight="1">
      <x:c r="A51" s="1"/>
      <x:c r="B51" s="1"/>
      <x:c r="C51" s="7" t="str">
        <x:v>Post-2026 capex is a normalized intensity assumption, not a detailed asset-by-asset build.</x:v>
      </x:c>
      <x:c r="D51" s="8"/>
      <x:c r="E51" s="8"/>
      <x:c r="F51" s="8"/>
      <x:c r="G51" s="8"/>
      <x:c r="H51" s="8"/>
      <x:c r="I51" s="8"/>
      <x:c r="J51" s="8"/>
      <x:c r="K51" s="8"/>
    </x:row>
    <x:row r="52" ht="20" customHeight="1">
      <x:c r="A52" s="1"/>
      <x:c r="B52" s="1"/>
      <x:c r="C52" s="7" t="str">
        <x:v>SBC remains an economic expense in FCFF. Cash bridge adds it back. No future buybacks assumed.</x:v>
      </x:c>
      <x:c r="D52" s="8"/>
      <x:c r="E52" s="8"/>
      <x:c r="F52" s="8"/>
      <x:c r="G52" s="8"/>
      <x:c r="H52" s="8"/>
      <x:c r="I52" s="8"/>
      <x:c r="J52" s="8"/>
      <x:c r="K52" s="8"/>
    </x:row>
    <x:row r="53" ht="20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0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0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0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</x:row>
    <x:row r="60" ht="20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</x:row>
    <x:row r="62" ht="20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</x:row>
    <x:row r="64" ht="20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</x:row>
    <x:row r="67" ht="20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dataValidations count="1">
    <x:dataValidation type="whole" operator="between" sqref="D6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Operating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</x:row>
    <x:row r="7" ht="20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</x:row>
    <x:row r="8" ht="20" customHeight="1">
      <x:c r="A8" s="1"/>
      <x:c r="B8" s="1"/>
      <x:c r="C8" s="27" t="str">
        <x:v>Fiscal year</x:v>
      </x:c>
      <x:c r="D8" s="35" t="n">
        <x:v>2023</x:v>
      </x:c>
      <x:c r="E8" s="35" t="n">
        <x:v>2024</x:v>
      </x:c>
      <x:c r="F8" s="35" t="n">
        <x:v>2025</x:v>
      </x:c>
      <x:c r="G8" s="35" t="n">
        <x:v>2026</x:v>
      </x:c>
      <x:c r="H8" s="35" t="n">
        <x:v>2027</x:v>
      </x:c>
      <x:c r="I8" s="35" t="n">
        <x:v>2028</x:v>
      </x:c>
      <x:c r="J8" s="35" t="n">
        <x:v>2029</x:v>
      </x:c>
      <x:c r="K8" s="35" t="n">
        <x:v>2030</x:v>
      </x:c>
    </x:row>
    <x:row r="9" ht="20" customHeight="1">
      <x:c r="A9" s="1"/>
      <x:c r="B9" s="1"/>
      <x:c r="C9" s="31" t="str">
        <x:v>Revenue</x:v>
      </x:c>
      <x:c r="D9" s="32" t="n">
        <x:f>Actuals!D9</x:f>
        <x:v>1094.837</x:v>
      </x:c>
      <x:c r="E9" s="32" t="n">
        <x:f>Actuals!E9</x:f>
        <x:v>1151.449</x:v>
      </x:c>
      <x:c r="F9" s="32" t="n">
        <x:f>Actuals!F9</x:f>
        <x:v>1174.267</x:v>
      </x:c>
      <x:c r="G9" s="33" t="n">
        <x:f>F9*(1+G10)</x:f>
        <x:v>1232.5</x:v>
      </x:c>
      <x:c r="H9" s="33" t="n">
        <x:f>G9*(1+H10)</x:f>
        <x:v>1318.775</x:v>
      </x:c>
      <x:c r="I9" s="33" t="n">
        <x:f>H9*(1+I10)</x:f>
        <x:v>1424.2770000000003</x:v>
      </x:c>
      <x:c r="J9" s="33" t="n">
        <x:f>I9*(1+J10)</x:f>
        <x:v>1538.2191600000003</x:v>
      </x:c>
      <x:c r="K9" s="33" t="n">
        <x:f>J9*(1+K10)</x:f>
        <x:v>1645.8945012000004</x:v>
      </x:c>
    </x:row>
    <x:row r="10" ht="20" customHeight="1">
      <x:c r="A10" s="1"/>
      <x:c r="B10" s="1"/>
      <x:c r="C10" s="39" t="str">
        <x:v>Revenue growth</x:v>
      </x:c>
      <x:c r="D10" s="40"/>
      <x:c r="E10" s="41" t="n">
        <x:f>E9/D9-1</x:f>
        <x:v>0.05170815381650429</x:v>
      </x:c>
      <x:c r="F10" s="41" t="n">
        <x:f>F9/E9-1</x:f>
        <x:v>0.019816770000234518</x:v>
      </x:c>
      <x:c r="G10" s="42" t="n">
        <x:f>Assumptions!D10</x:f>
        <x:v>0.04959093630324274</x:v>
      </x:c>
      <x:c r="H10" s="42" t="n">
        <x:f>Assumptions!E10</x:f>
        <x:v>0.07</x:v>
      </x:c>
      <x:c r="I10" s="42" t="n">
        <x:f>Assumptions!F10</x:f>
        <x:v>0.08</x:v>
      </x:c>
      <x:c r="J10" s="42" t="n">
        <x:f>Assumptions!G10</x:f>
        <x:v>0.08</x:v>
      </x:c>
      <x:c r="K10" s="42" t="n">
        <x:f>Assumptions!H10</x:f>
        <x:v>0.07</x:v>
      </x:c>
    </x:row>
    <x:row r="11" ht="20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</x:row>
    <x:row r="12" ht="20" customHeight="1">
      <x:c r="A12" s="1"/>
      <x:c r="B12" s="1"/>
      <x:c r="C12" s="31" t="str">
        <x:v>Unadjusted EBITDA (EBIT + D&amp;A)</x:v>
      </x:c>
      <x:c r="D12" s="33" t="n">
        <x:f>D15+D14</x:f>
        <x:v>324.781</x:v>
      </x:c>
      <x:c r="E12" s="33" t="n">
        <x:f>E15+E14</x:f>
        <x:v>376.57300000000004</x:v>
      </x:c>
      <x:c r="F12" s="33" t="n">
        <x:f>F15+F14</x:f>
        <x:v>320.918</x:v>
      </x:c>
      <x:c r="G12" s="32" t="n">
        <x:f>G9*Assumptions!D14</x:f>
        <x:v>335.00000000000006</x:v>
      </x:c>
      <x:c r="H12" s="32" t="n">
        <x:f>H9*Assumptions!E14</x:f>
        <x:v>369.25700000000006</x:v>
      </x:c>
      <x:c r="I12" s="32" t="n">
        <x:f>I9*Assumptions!F14</x:f>
        <x:v>413.04033000000004</x:v>
      </x:c>
      <x:c r="J12" s="32" t="n">
        <x:f>J9*Assumptions!G14</x:f>
        <x:v>461.4657480000001</x:v>
      </x:c>
      <x:c r="K12" s="32" t="n">
        <x:f>K9*Assumptions!H14</x:f>
        <x:v>493.7683503600001</x:v>
      </x:c>
    </x:row>
    <x:row r="13" ht="20" customHeight="1">
      <x:c r="A13" s="1"/>
      <x:c r="B13" s="1"/>
      <x:c r="C13" s="39" t="str">
        <x:v>EBITDA margin</x:v>
      </x:c>
      <x:c r="D13" s="41" t="n">
        <x:f>D12/D9</x:f>
        <x:v>0.2966478115007074</x:v>
      </x:c>
      <x:c r="E13" s="41" t="n">
        <x:f>E12/E9</x:f>
        <x:v>0.3270427087956132</x:v>
      </x:c>
      <x:c r="F13" s="41" t="n">
        <x:f>F12/F9</x:f>
        <x:v>0.2732921899363603</x:v>
      </x:c>
      <x:c r="G13" s="41" t="n">
        <x:f>G12/G9</x:f>
        <x:v>0.2718052738336714</x:v>
      </x:c>
      <x:c r="H13" s="41" t="n">
        <x:f>H12/H9</x:f>
        <x:v>0.28</x:v>
      </x:c>
      <x:c r="I13" s="41" t="n">
        <x:f>I12/I9</x:f>
        <x:v>0.29</x:v>
      </x:c>
      <x:c r="J13" s="41" t="n">
        <x:f>J12/J9</x:f>
        <x:v>0.3</x:v>
      </x:c>
      <x:c r="K13" s="41" t="n">
        <x:f>K12/K9</x:f>
        <x:v>0.3</x:v>
      </x:c>
    </x:row>
    <x:row r="14" ht="20" customHeight="1">
      <x:c r="A14" s="1"/>
      <x:c r="B14" s="1"/>
      <x:c r="C14" s="1" t="str">
        <x:v>Depreciation and amortization</x:v>
      </x:c>
      <x:c r="D14" s="5" t="n">
        <x:f>Actuals!D17</x:f>
        <x:v>50.189</x:v>
      </x:c>
      <x:c r="E14" s="5" t="n">
        <x:f>Actuals!E17</x:f>
        <x:v>54.67</x:v>
      </x:c>
      <x:c r="F14" s="5" t="n">
        <x:f>Actuals!F17</x:f>
        <x:v>62.957</x:v>
      </x:c>
      <x:c r="G14" s="5" t="n">
        <x:f>G9*Assumptions!D18</x:f>
        <x:v>85</x:v>
      </x:c>
      <x:c r="H14" s="5" t="n">
        <x:f>H9*Assumptions!E18</x:f>
        <x:v>92.31425000000002</x:v>
      </x:c>
      <x:c r="I14" s="5" t="n">
        <x:f>I9*Assumptions!F18</x:f>
        <x:v>95.42655900000003</x:v>
      </x:c>
      <x:c r="J14" s="5" t="n">
        <x:f>J9*Assumptions!G18</x:f>
        <x:v>99.98424540000002</x:v>
      </x:c>
      <x:c r="K14" s="5" t="n">
        <x:f>K9*Assumptions!H18</x:f>
        <x:v>103.69135357560002</x:v>
      </x:c>
    </x:row>
    <x:row r="15" ht="20" customHeight="1">
      <x:c r="A15" s="1"/>
      <x:c r="B15" s="1"/>
      <x:c r="C15" s="31" t="str">
        <x:v>EBIT</x:v>
      </x:c>
      <x:c r="D15" s="32" t="n">
        <x:f>Actuals!D13</x:f>
        <x:v>274.592</x:v>
      </x:c>
      <x:c r="E15" s="32" t="n">
        <x:f>Actuals!E13</x:f>
        <x:v>321.903</x:v>
      </x:c>
      <x:c r="F15" s="32" t="n">
        <x:f>Actuals!F13</x:f>
        <x:v>257.961</x:v>
      </x:c>
      <x:c r="G15" s="33" t="n">
        <x:f>G12-G14</x:f>
        <x:v>250.00000000000006</x:v>
      </x:c>
      <x:c r="H15" s="33" t="n">
        <x:f>H12-H14</x:f>
        <x:v>276.94275000000005</x:v>
      </x:c>
      <x:c r="I15" s="33" t="n">
        <x:f>I12-I14</x:f>
        <x:v>317.61377100000004</x:v>
      </x:c>
      <x:c r="J15" s="33" t="n">
        <x:f>J12-J14</x:f>
        <x:v>361.48150260000006</x:v>
      </x:c>
      <x:c r="K15" s="33" t="n">
        <x:f>K12-K14</x:f>
        <x:v>390.0769967844001</x:v>
      </x:c>
    </x:row>
    <x:row r="16" ht="20" customHeight="1">
      <x:c r="A16" s="1"/>
      <x:c r="B16" s="1"/>
      <x:c r="C16" s="39" t="str">
        <x:v>EBIT margin</x:v>
      </x:c>
      <x:c r="D16" s="41" t="n">
        <x:f>D15/D9</x:f>
        <x:v>0.2508062844058065</x:v>
      </x:c>
      <x:c r="E16" s="41" t="n">
        <x:f>E15/E9</x:f>
        <x:v>0.27956340228703136</x:v>
      </x:c>
      <x:c r="F16" s="41" t="n">
        <x:f>F15/F9</x:f>
        <x:v>0.21967831847441852</x:v>
      </x:c>
      <x:c r="G16" s="41" t="n">
        <x:f>G15/G9</x:f>
        <x:v>0.20283975659229214</x:v>
      </x:c>
      <x:c r="H16" s="41" t="n">
        <x:f>H15/H9</x:f>
        <x:v>0.21000000000000002</x:v>
      </x:c>
      <x:c r="I16" s="41" t="n">
        <x:f>I15/I9</x:f>
        <x:v>0.22299999999999998</x:v>
      </x:c>
      <x:c r="J16" s="41" t="n">
        <x:f>J15/J9</x:f>
        <x:v>0.235</x:v>
      </x:c>
      <x:c r="K16" s="41" t="n">
        <x:f>K15/K9</x:f>
        <x:v>0.237</x:v>
      </x:c>
    </x:row>
    <x:row r="17" ht="20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"/>
      <x:c r="B18" s="1"/>
      <x:c r="C18" s="39" t="str">
        <x:v>Effective tax rate</x:v>
      </x:c>
      <x:c r="D18" s="42" t="n">
        <x:f>Actuals!D14/Actuals!D15</x:f>
        <x:v>0.25663268836470776</x:v>
      </x:c>
      <x:c r="E18" s="42" t="n">
        <x:f>Actuals!E14/Actuals!E15</x:f>
        <x:v>0.25928664177388994</x:v>
      </x:c>
      <x:c r="F18" s="42" t="n">
        <x:f>Actuals!F14/Actuals!F15</x:f>
        <x:v>0.26184578288966165</x:v>
      </x:c>
      <x:c r="G18" s="42" t="n">
        <x:f>Assumptions!D22</x:f>
        <x:v>0.2625</x:v>
      </x:c>
      <x:c r="H18" s="42" t="n">
        <x:f>Assumptions!E22</x:f>
        <x:v>0.2625</x:v>
      </x:c>
      <x:c r="I18" s="42" t="n">
        <x:f>Assumptions!F22</x:f>
        <x:v>0.2625</x:v>
      </x:c>
      <x:c r="J18" s="42" t="n">
        <x:f>Assumptions!G22</x:f>
        <x:v>0.2625</x:v>
      </x:c>
      <x:c r="K18" s="42" t="n">
        <x:f>Assumptions!H22</x:f>
        <x:v>0.2625</x:v>
      </x:c>
    </x:row>
    <x:row r="19" ht="20" customHeight="1">
      <x:c r="A19" s="1"/>
      <x:c r="B19" s="1"/>
      <x:c r="C19" s="1" t="str">
        <x:v>NOPAT</x:v>
      </x:c>
      <x:c r="D19" s="4" t="n">
        <x:f>D15*(1-D18)</x:f>
        <x:v>204.12271683655817</x:v>
      </x:c>
      <x:c r="E19" s="4" t="n">
        <x:f>E15*(1-E18)</x:f>
        <x:v>238.4378521530595</x:v>
      </x:c>
      <x:c r="F19" s="4" t="n">
        <x:f>F15*(1-F18)</x:f>
        <x:v>190.415</x:v>
      </x:c>
      <x:c r="G19" s="4" t="n">
        <x:f>G15*(1-G18)</x:f>
        <x:v>184.37500000000006</x:v>
      </x:c>
      <x:c r="H19" s="4" t="n">
        <x:f>H15*(1-H18)</x:f>
        <x:v>204.24527812500006</x:v>
      </x:c>
      <x:c r="I19" s="4" t="n">
        <x:f>I15*(1-I18)</x:f>
        <x:v>234.24015611250005</x:v>
      </x:c>
      <x:c r="J19" s="4" t="n">
        <x:f>J15*(1-J18)</x:f>
        <x:v>266.59260816750003</x:v>
      </x:c>
      <x:c r="K19" s="4" t="n">
        <x:f>K15*(1-K18)</x:f>
        <x:v>287.68178512849505</x:v>
      </x:c>
    </x:row>
    <x:row r="20" ht="20" customHeight="1">
      <x:c r="A20" s="1"/>
      <x:c r="B20" s="1"/>
      <x:c r="C20" s="1" t="str">
        <x:v>D&amp;A add-back</x:v>
      </x:c>
      <x:c r="D20" s="5" t="n">
        <x:f>Actuals!D17</x:f>
        <x:v>50.189</x:v>
      </x:c>
      <x:c r="E20" s="5" t="n">
        <x:f>Actuals!E17</x:f>
        <x:v>54.67</x:v>
      </x:c>
      <x:c r="F20" s="5" t="n">
        <x:f>Actuals!F17</x:f>
        <x:v>62.957</x:v>
      </x:c>
      <x:c r="G20" s="4" t="n">
        <x:f>G14</x:f>
        <x:v>85</x:v>
      </x:c>
      <x:c r="H20" s="4" t="n">
        <x:f>H14</x:f>
        <x:v>92.31425000000002</x:v>
      </x:c>
      <x:c r="I20" s="4" t="n">
        <x:f>I14</x:f>
        <x:v>95.42655900000003</x:v>
      </x:c>
      <x:c r="J20" s="4" t="n">
        <x:f>J14</x:f>
        <x:v>99.98424540000002</x:v>
      </x:c>
      <x:c r="K20" s="4" t="n">
        <x:f>K14</x:f>
        <x:v>103.69135357560002</x:v>
      </x:c>
    </x:row>
    <x:row r="21" ht="20" customHeight="1">
      <x:c r="A21" s="1"/>
      <x:c r="B21" s="1"/>
      <x:c r="C21" s="1" t="str">
        <x:v>Noncash disposal / write-down</x:v>
      </x:c>
      <x:c r="D21" s="5" t="n">
        <x:f>Actuals!D27</x:f>
        <x:v>3.14</x:v>
      </x:c>
      <x:c r="E21" s="5" t="n">
        <x:f>Actuals!E27</x:f>
        <x:v>2.644</x:v>
      </x:c>
      <x:c r="F21" s="5" t="n">
        <x:f>Actuals!F27</x:f>
        <x:v>0.522</x:v>
      </x:c>
      <x:c r="G21" s="5" t="n">
        <x:f>Actuals!E48</x:f>
        <x:v>4.672</x:v>
      </x:c>
      <x:c r="H21" s="4" t="n">
        <x:f>0</x:f>
        <x:v>0</x:v>
      </x:c>
      <x:c r="I21" s="4" t="n">
        <x:f>0</x:f>
        <x:v>0</x:v>
      </x:c>
      <x:c r="J21" s="4" t="n">
        <x:f>0</x:f>
        <x:v>0</x:v>
      </x:c>
      <x:c r="K21" s="4" t="n">
        <x:f>0</x:f>
        <x:v>0</x:v>
      </x:c>
    </x:row>
    <x:row r="22" ht="20" customHeight="1">
      <x:c r="A22" s="1"/>
      <x:c r="B22" s="1"/>
      <x:c r="C22" s="1" t="str">
        <x:v>PP&amp;E cash capital expenditure</x:v>
      </x:c>
      <x:c r="D22" s="5" t="n">
        <x:f>Actuals!D20</x:f>
        <x:v>166.089</x:v>
      </x:c>
      <x:c r="E22" s="5" t="n">
        <x:f>Actuals!E20</x:f>
        <x:v>232.337</x:v>
      </x:c>
      <x:c r="F22" s="5" t="n">
        <x:f>Actuals!F20</x:f>
        <x:v>223.592</x:v>
      </x:c>
      <x:c r="G22" s="5" t="n">
        <x:f>G9*Assumptions!D26</x:f>
        <x:v>110</x:v>
      </x:c>
      <x:c r="H22" s="5" t="n">
        <x:f>H9*Assumptions!E26</x:f>
        <x:v>92.31425000000002</x:v>
      </x:c>
      <x:c r="I22" s="5" t="n">
        <x:f>I9*Assumptions!F26</x:f>
        <x:v>85.45662000000002</x:v>
      </x:c>
      <x:c r="J22" s="5" t="n">
        <x:f>J9*Assumptions!G26</x:f>
        <x:v>92.29314960000002</x:v>
      </x:c>
      <x:c r="K22" s="5" t="n">
        <x:f>K9*Assumptions!H26</x:f>
        <x:v>98.75367007200002</x:v>
      </x:c>
    </x:row>
    <x:row r="23" ht="20" customHeight="1">
      <x:c r="A23" s="1"/>
      <x:c r="B23" s="1"/>
      <x:c r="C23" s="1" t="str">
        <x:v>Intangible investment</x:v>
      </x:c>
      <x:c r="D23" s="5" t="n">
        <x:f>Actuals!D21</x:f>
        <x:v>0</x:v>
      </x:c>
      <x:c r="E23" s="5" t="n">
        <x:f>Actuals!E21</x:f>
        <x:v>4.304</x:v>
      </x:c>
      <x:c r="F23" s="5" t="n">
        <x:f>Actuals!F21</x:f>
        <x:v>9.983</x:v>
      </x:c>
      <x:c r="G23" s="5" t="n">
        <x:f>G9*Assumptions!D30</x:f>
        <x:v>9</x:v>
      </x:c>
      <x:c r="H23" s="5" t="n">
        <x:f>H9*Assumptions!E30</x:f>
        <x:v>9.231425000000002</x:v>
      </x:c>
      <x:c r="I23" s="5" t="n">
        <x:f>I9*Assumptions!F30</x:f>
        <x:v>9.969939000000002</x:v>
      </x:c>
      <x:c r="J23" s="5" t="n">
        <x:f>J9*Assumptions!G30</x:f>
        <x:v>10.767534120000002</x:v>
      </x:c>
      <x:c r="K23" s="5" t="n">
        <x:f>K9*Assumptions!H30</x:f>
        <x:v>11.521261508400002</x:v>
      </x:c>
    </x:row>
    <x:row r="24" ht="20" customHeight="1">
      <x:c r="A24" s="1"/>
      <x:c r="B24" s="1"/>
      <x:c r="C24" s="1" t="str">
        <x:v>Investment in operating WC</x:v>
      </x:c>
      <x:c r="D24" s="5" t="n">
        <x:f>-SUM(Actuals!D22:D26)</x:f>
        <x:v>-103.62100000000001</x:v>
      </x:c>
      <x:c r="E24" s="5" t="n">
        <x:f>-SUM(Actuals!E22:E26)</x:f>
        <x:v>162.95</x:v>
      </x:c>
      <x:c r="F24" s="5" t="n">
        <x:f>-SUM(Actuals!F22:F26)</x:f>
        <x:v>-77.668</x:v>
      </x:c>
      <x:c r="G24" s="5" t="n">
        <x:f>(G9-F9)*Assumptions!D34</x:f>
        <x:v>8.734949999999992</x:v>
      </x:c>
      <x:c r="H24" s="5" t="n">
        <x:f>(H9-G9)*Assumptions!E34</x:f>
        <x:v>12.941250000000013</x:v>
      </x:c>
      <x:c r="I24" s="5" t="n">
        <x:f>(I9-H9)*Assumptions!F34</x:f>
        <x:v>15.825300000000027</x:v>
      </x:c>
      <x:c r="J24" s="5" t="n">
        <x:f>(J9-I9)*Assumptions!G34</x:f>
        <x:v>17.091324000000007</x:v>
      </x:c>
      <x:c r="K24" s="5" t="n">
        <x:f>(K9-J9)*Assumptions!H34</x:f>
        <x:v>16.151301180000008</x:v>
      </x:c>
    </x:row>
    <x:row r="25" ht="20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</x:row>
    <x:row r="26" ht="20" customHeight="1">
      <x:c r="A26" s="1"/>
      <x:c r="B26" s="1"/>
      <x:c r="C26" s="31" t="str">
        <x:v>Normalized unlevered free cash flow</x:v>
      </x:c>
      <x:c r="D26" s="33" t="n">
        <x:f>SUM(D19:D21)-SUM(D22:D24)</x:f>
        <x:v>194.98371683655816</x:v>
      </x:c>
      <x:c r="E26" s="33" t="n">
        <x:f>SUM(E19:E21)-SUM(E22:E24)</x:f>
        <x:v>-103.83914784694048</x:v>
      </x:c>
      <x:c r="F26" s="33" t="n">
        <x:f>SUM(F19:F21)-SUM(F22:F24)</x:f>
        <x:v>97.98699999999997</x:v>
      </x:c>
      <x:c r="G26" s="33" t="n">
        <x:f>SUM(G19:G21)-SUM(G22:G24)</x:f>
        <x:v>146.31205000000008</x:v>
      </x:c>
      <x:c r="H26" s="33" t="n">
        <x:f>SUM(H19:H21)-SUM(H22:H24)</x:f>
        <x:v>182.072603125</x:v>
      </x:c>
      <x:c r="I26" s="33" t="n">
        <x:f>SUM(I19:I21)-SUM(I22:I24)</x:f>
        <x:v>218.41485611250005</x:v>
      </x:c>
      <x:c r="J26" s="33" t="n">
        <x:f>SUM(J19:J21)-SUM(J22:J24)</x:f>
        <x:v>246.42484584750002</x:v>
      </x:c>
      <x:c r="K26" s="33" t="n">
        <x:f>SUM(K19:K21)-SUM(K22:K24)</x:f>
        <x:v>264.94690594369507</x:v>
      </x:c>
    </x:row>
    <x:row r="27" ht="20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</x:row>
    <x:row r="28" ht="20" customHeight="1">
      <x:c r="A28" s="1"/>
      <x:c r="B28" s="1"/>
      <x:c r="C28" s="1" t="str">
        <x:v>Net interest expense</x:v>
      </x:c>
      <x:c r="D28" s="9" t="n">
        <x:v>0.005</x:v>
      </x:c>
      <x:c r="E28" s="9" t="n">
        <x:v>-0.011</x:v>
      </x:c>
      <x:c r="F28" s="9" t="n">
        <x:v>0</x:v>
      </x:c>
      <x:c r="G28" s="5" t="n">
        <x:f>Assumptions!D42</x:f>
        <x:v>9</x:v>
      </x:c>
      <x:c r="H28" s="5" t="n">
        <x:f>Assumptions!E42</x:f>
        <x:v>13</x:v>
      </x:c>
      <x:c r="I28" s="5" t="n">
        <x:f>Assumptions!F42</x:f>
        <x:v>13</x:v>
      </x:c>
      <x:c r="J28" s="5" t="n">
        <x:f>Assumptions!G42</x:f>
        <x:v>13</x:v>
      </x:c>
      <x:c r="K28" s="5" t="n">
        <x:f>Assumptions!H42</x:f>
        <x:v>13</x:v>
      </x:c>
    </x:row>
    <x:row r="29" ht="20" customHeight="1">
      <x:c r="A29" s="1"/>
      <x:c r="B29" s="1"/>
      <x:c r="C29" s="1" t="str">
        <x:v>Net income (simplified forecast)</x:v>
      </x:c>
      <x:c r="D29" s="5" t="n">
        <x:f>Actuals!D16</x:f>
        <x:v>204.119</x:v>
      </x:c>
      <x:c r="E29" s="5" t="n">
        <x:f>Actuals!E16</x:f>
        <x:v>238.446</x:v>
      </x:c>
      <x:c r="F29" s="5" t="n">
        <x:f>Actuals!F16</x:f>
        <x:v>190.415</x:v>
      </x:c>
      <x:c r="G29" s="4" t="n">
        <x:f>(G15-G28)*(1-G18)</x:f>
        <x:v>177.73750000000004</x:v>
      </x:c>
      <x:c r="H29" s="4" t="n">
        <x:f>(H15-H28)*(1-H18)</x:f>
        <x:v>194.65777812500005</x:v>
      </x:c>
      <x:c r="I29" s="4" t="n">
        <x:f>(I15-I28)*(1-I18)</x:f>
        <x:v>224.65265611250004</x:v>
      </x:c>
      <x:c r="J29" s="4" t="n">
        <x:f>(J15-J28)*(1-J18)</x:f>
        <x:v>257.00510816750005</x:v>
      </x:c>
      <x:c r="K29" s="4" t="n">
        <x:f>(K15-K28)*(1-K18)</x:f>
        <x:v>278.0942851284951</x:v>
      </x:c>
    </x:row>
    <x:row r="30" ht="20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</x:row>
    <x:row r="31" ht="20" customHeight="1">
      <x:c r="A31" s="1"/>
      <x:c r="B31" s="1"/>
      <x:c r="C31" s="1" t="str">
        <x:v>H2 2026 / FY2027–30 cash bridge</x:v>
      </x:c>
      <x:c r="D31" s="2"/>
      <x:c r="E31" s="2"/>
      <x:c r="F31" s="2"/>
      <x:c r="G31" s="2"/>
      <x:c r="H31" s="2"/>
      <x:c r="I31" s="2"/>
      <x:c r="J31" s="2"/>
      <x:c r="K31" s="2"/>
    </x:row>
    <x:row r="32" ht="20" customHeight="1">
      <x:c r="A32" s="1"/>
      <x:c r="B32" s="1"/>
      <x:c r="C32" s="1" t="str">
        <x:v>Opening cash balance</x:v>
      </x:c>
      <x:c r="D32" s="2"/>
      <x:c r="E32" s="2"/>
      <x:c r="F32" s="2"/>
      <x:c r="G32" s="5" t="n">
        <x:f>Actuals!F51</x:f>
        <x:v>6.475</x:v>
      </x:c>
      <x:c r="H32" s="4" t="n">
        <x:f>G38</x:f>
        <x:v>143.7130500000001</x:v>
      </x:c>
      <x:c r="I32" s="4" t="n">
        <x:f>H38</x:f>
        <x:v>328.06712812500007</x:v>
      </x:c>
      <x:c r="J32" s="4" t="n">
        <x:f>I38</x:f>
        <x:v>549.7129772375001</x:v>
      </x:c>
      <x:c r="K32" s="4" t="n">
        <x:f>J38</x:f>
        <x:v>800.3942955250002</x:v>
      </x:c>
    </x:row>
    <x:row r="33" ht="20" customHeight="1">
      <x:c r="A33" s="1"/>
      <x:c r="B33" s="1"/>
      <x:c r="C33" s="1" t="str">
        <x:v>Normalized unlevered FCF</x:v>
      </x:c>
      <x:c r="D33" s="2"/>
      <x:c r="E33" s="2"/>
      <x:c r="F33" s="2"/>
      <x:c r="G33" s="5" t="n">
        <x:f>G26-DCF!D16</x:f>
        <x:v>136.5430616329092</x:v>
      </x:c>
      <x:c r="H33" s="4" t="n">
        <x:f>H26</x:f>
        <x:v>182.072603125</x:v>
      </x:c>
      <x:c r="I33" s="4" t="n">
        <x:f>I26</x:f>
        <x:v>218.41485611250005</x:v>
      </x:c>
      <x:c r="J33" s="4" t="n">
        <x:f>J26</x:f>
        <x:v>246.42484584750002</x:v>
      </x:c>
      <x:c r="K33" s="4" t="n">
        <x:f>K26</x:f>
        <x:v>264.94690594369507</x:v>
      </x:c>
    </x:row>
    <x:row r="34" ht="20" customHeight="1">
      <x:c r="A34" s="1"/>
      <x:c r="B34" s="1"/>
      <x:c r="C34" s="1" t="str">
        <x:v>SBC add-back</x:v>
      </x:c>
      <x:c r="D34" s="2"/>
      <x:c r="E34" s="2"/>
      <x:c r="F34" s="2"/>
      <x:c r="G34" s="5" t="n">
        <x:f>G9*Assumptions!D38-Actuals!E38</x:f>
        <x:v>5.618499999999999</x:v>
      </x:c>
      <x:c r="H34" s="5" t="n">
        <x:f>H9*Assumptions!E38</x:f>
        <x:v>11.868975</x:v>
      </x:c>
      <x:c r="I34" s="5" t="n">
        <x:f>I9*Assumptions!F38</x:f>
        <x:v>12.818493000000002</x:v>
      </x:c>
      <x:c r="J34" s="5" t="n">
        <x:f>J9*Assumptions!G38</x:f>
        <x:v>13.843972440000002</x:v>
      </x:c>
      <x:c r="K34" s="5" t="n">
        <x:f>K9*Assumptions!H38</x:f>
        <x:v>14.813050510800002</x:v>
      </x:c>
    </x:row>
    <x:row r="35" ht="20" customHeight="1">
      <x:c r="A35" s="1"/>
      <x:c r="B35" s="1"/>
      <x:c r="C35" s="1" t="str">
        <x:v>After-tax net interest</x:v>
      </x:c>
      <x:c r="D35" s="2"/>
      <x:c r="E35" s="2"/>
      <x:c r="F35" s="2"/>
      <x:c r="G35" s="5" t="n">
        <x:f>G28*(1-G18)-Actuals!E47*(1-Actuals!E35/Actuals!E34)</x:f>
        <x:v>4.923511632909124</x:v>
      </x:c>
      <x:c r="H35" s="4" t="n">
        <x:f>H28*(1-H18)</x:f>
        <x:v>9.5875</x:v>
      </x:c>
      <x:c r="I35" s="4" t="n">
        <x:f>I28*(1-I18)</x:f>
        <x:v>9.5875</x:v>
      </x:c>
      <x:c r="J35" s="4" t="n">
        <x:f>J28*(1-J18)</x:f>
        <x:v>9.5875</x:v>
      </x:c>
      <x:c r="K35" s="4" t="n">
        <x:f>K28*(1-K18)</x:f>
        <x:v>9.5875</x:v>
      </x:c>
    </x:row>
    <x:row r="36" ht="20" customHeight="1">
      <x:c r="A36" s="1"/>
      <x:c r="B36" s="1"/>
      <x:c r="C36" s="1" t="str">
        <x:v>Net debt issuance / repayment</x:v>
      </x:c>
      <x:c r="D36" s="2"/>
      <x:c r="E36" s="2"/>
      <x:c r="F36" s="2"/>
      <x:c r="G36" s="9" t="n">
        <x:v>0</x:v>
      </x:c>
      <x:c r="H36" s="9" t="n">
        <x:v>0</x:v>
      </x:c>
      <x:c r="I36" s="9" t="n">
        <x:v>0</x:v>
      </x:c>
      <x:c r="J36" s="9" t="n">
        <x:v>0</x:v>
      </x:c>
      <x:c r="K36" s="9" t="n">
        <x:v>0</x:v>
      </x:c>
    </x:row>
    <x:row r="37" ht="20" customHeight="1">
      <x:c r="A37" s="1"/>
      <x:c r="B37" s="1"/>
      <x:c r="C37" s="1" t="str">
        <x:v>Buybacks / dividends</x:v>
      </x:c>
      <x:c r="D37" s="2"/>
      <x:c r="E37" s="2"/>
      <x:c r="F37" s="2"/>
      <x:c r="G37" s="9" t="n">
        <x:v>0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</x:row>
    <x:row r="38" ht="20" customHeight="1">
      <x:c r="A38" s="1"/>
      <x:c r="B38" s="1"/>
      <x:c r="C38" s="31" t="str">
        <x:v>Closing cash proxy</x:v>
      </x:c>
      <x:c r="D38" s="34"/>
      <x:c r="E38" s="34"/>
      <x:c r="F38" s="34"/>
      <x:c r="G38" s="33" t="n">
        <x:f>SUM(G32:G34)-G35+G36-G37</x:f>
        <x:v>143.7130500000001</x:v>
      </x:c>
      <x:c r="H38" s="33" t="n">
        <x:f>SUM(H32:H34)-H35+H36-H37</x:f>
        <x:v>328.06712812500007</x:v>
      </x:c>
      <x:c r="I38" s="33" t="n">
        <x:f>SUM(I32:I34)-I35+I36-I37</x:f>
        <x:v>549.7129772375001</x:v>
      </x:c>
      <x:c r="J38" s="33" t="n">
        <x:f>SUM(J32:J34)-J35+J36-J37</x:f>
        <x:v>800.3942955250002</x:v>
      </x:c>
      <x:c r="K38" s="33" t="n">
        <x:f>SUM(K32:K34)-K35+K36-K37</x:f>
        <x:v>1070.5667519794952</x:v>
      </x:c>
    </x:row>
    <x:row r="39" ht="20" customHeight="1">
      <x:c r="A39" s="1"/>
      <x:c r="B39" s="1"/>
      <x:c r="C39" s="1" t="str">
        <x:v>Debt held constant after June 30</x:v>
      </x:c>
      <x:c r="D39" s="2"/>
      <x:c r="E39" s="2"/>
      <x:c r="F39" s="2"/>
      <x:c r="G39" s="5" t="n">
        <x:f>Actuals!F52</x:f>
        <x:v>253</x:v>
      </x:c>
      <x:c r="H39" s="5" t="n">
        <x:f>Actuals!F52</x:f>
        <x:v>253</x:v>
      </x:c>
      <x:c r="I39" s="5" t="n">
        <x:f>Actuals!F52</x:f>
        <x:v>253</x:v>
      </x:c>
      <x:c r="J39" s="5" t="n">
        <x:f>Actuals!F52</x:f>
        <x:v>253</x:v>
      </x:c>
      <x:c r="K39" s="5" t="n">
        <x:f>Actuals!F52</x:f>
        <x:v>253</x:v>
      </x:c>
    </x:row>
    <x:row r="40" ht="20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</x:row>
    <x:row r="41" ht="20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</x:row>
    <x:row r="42" ht="20" customHeight="1">
      <x:c r="A42" s="1"/>
      <x:c r="B42" s="1"/>
      <x:c r="C42" s="7" t="str">
        <x:v>Cash proxy excludes tax-payment timing, deferred taxes, other noncash items and future financing choices.</x:v>
      </x:c>
      <x:c r="D42" s="8"/>
      <x:c r="E42" s="8"/>
      <x:c r="F42" s="8"/>
      <x:c r="G42" s="8"/>
      <x:c r="H42" s="8"/>
      <x:c r="I42" s="8"/>
      <x:c r="J42" s="8"/>
      <x:c r="K42" s="8"/>
    </x:row>
    <x:row r="43" ht="20" customHeight="1">
      <x:c r="A43" s="1"/>
      <x:c r="B43" s="1"/>
      <x:c r="C43" s="7" t="str">
        <x:v>Opening 2026 cash is June 30 actual. H2 bridge uses full-year forecast less normalized H1 actual flows.</x:v>
      </x:c>
      <x:c r="D43" s="8"/>
      <x:c r="E43" s="8"/>
      <x:c r="F43" s="8"/>
      <x:c r="G43" s="8"/>
      <x:c r="H43" s="8"/>
      <x:c r="I43" s="8"/>
      <x:c r="J43" s="8"/>
      <x:c r="K43" s="8"/>
    </x:row>
    <x:row r="44" ht="20" customHeight="1">
      <x:c r="A44" s="1"/>
      <x:c r="B44" s="1"/>
      <x:c r="C44" s="7" t="str">
        <x:v>Forecast working-capital investment equals incremental sales × cash investment intensity.</x:v>
      </x:c>
      <x:c r="D44" s="8"/>
      <x:c r="E44" s="8"/>
      <x:c r="F44" s="8"/>
      <x:c r="G44" s="8"/>
      <x:c r="H44" s="8"/>
      <x:c r="I44" s="8"/>
      <x:c r="J44" s="8"/>
      <x:c r="K44" s="8"/>
    </x:row>
    <x:row r="45" ht="20" customHeight="1">
      <x:c r="A45" s="1"/>
      <x:c r="B45" s="1"/>
      <x:c r="C45" s="7" t="str">
        <x:v>This is an operating / DCF model with a cash bridge, not a full GAAP three-statement forecast.</x:v>
      </x:c>
      <x:c r="D45" s="8"/>
      <x:c r="E45" s="8"/>
      <x:c r="F45" s="8"/>
      <x:c r="G45" s="8"/>
      <x:c r="H45" s="8"/>
      <x:c r="I45" s="8"/>
      <x:c r="J45" s="8"/>
      <x:c r="K45" s="8"/>
    </x:row>
    <x:row r="46" ht="20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</x:row>
    <x:row r="47" ht="20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</x:row>
    <x:row r="48" ht="20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</x:row>
    <x:row r="49" ht="20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</x:row>
    <x:row r="50" ht="20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</x:row>
    <x:row r="51" ht="20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</x:row>
    <x:row r="52" ht="20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</x:row>
    <x:row r="53" ht="20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0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0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0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</x:row>
    <x:row r="60" ht="20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</x:row>
    <x:row r="62" ht="20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</x:row>
    <x:row r="64" ht="20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</x:row>
    <x:row r="67" ht="20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DCF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 t="str">
        <x:v>Discount rate (WACC)</x:v>
      </x:c>
      <x:c r="D6" s="14" t="n">
        <x:v>0.1</x:v>
      </x:c>
      <x:c r="E6" s="2"/>
      <x:c r="F6" s="2"/>
      <x:c r="G6" s="2"/>
      <x:c r="H6" s="2"/>
      <x:c r="I6" s="2"/>
      <x:c r="J6" s="2"/>
      <x:c r="K6" s="2"/>
    </x:row>
    <x:row r="7" ht="20" customHeight="1">
      <x:c r="A7" s="1"/>
      <x:c r="B7" s="1"/>
      <x:c r="C7" s="1" t="str">
        <x:v>Terminal growth rate</x:v>
      </x:c>
      <x:c r="D7" s="14" t="n">
        <x:v>0.025</x:v>
      </x:c>
      <x:c r="E7" s="2"/>
      <x:c r="F7" s="2"/>
      <x:c r="G7" s="2"/>
      <x:c r="H7" s="2"/>
      <x:c r="I7" s="2"/>
      <x:c r="J7" s="2"/>
      <x:c r="K7" s="2"/>
    </x:row>
    <x:row r="8" ht="20" customHeight="1">
      <x:c r="A8" s="1"/>
      <x:c r="B8" s="1"/>
      <x:c r="C8" s="27"/>
      <x:c r="D8" s="28"/>
      <x:c r="E8" s="28"/>
      <x:c r="F8" s="28"/>
      <x:c r="G8" s="28"/>
      <x:c r="H8" s="28"/>
      <x:c r="I8" s="28"/>
      <x:c r="J8" s="28"/>
      <x:c r="K8" s="28"/>
    </x:row>
    <x:row r="9" ht="20" customHeight="1">
      <x:c r="A9" s="1"/>
      <x:c r="B9" s="1"/>
      <x:c r="C9" s="19" t="str">
        <x:v>H1 2026 normalized FCFF bridge</x:v>
      </x:c>
      <x:c r="D9" s="20"/>
      <x:c r="E9" s="20"/>
      <x:c r="F9" s="20"/>
      <x:c r="G9" s="20"/>
      <x:c r="H9" s="20"/>
      <x:c r="I9" s="20"/>
      <x:c r="J9" s="20"/>
      <x:c r="K9" s="20"/>
    </x:row>
    <x:row r="10" ht="20" customHeight="1">
      <x:c r="A10" s="1"/>
      <x:c r="B10" s="1"/>
      <x:c r="C10" s="1" t="str">
        <x:v>EBIT</x:v>
      </x:c>
      <x:c r="D10" s="5" t="n">
        <x:f>Actuals!E33</x:f>
        <x:v>169.697</x:v>
      </x:c>
      <x:c r="E10" s="2"/>
      <x:c r="F10" s="2"/>
      <x:c r="G10" s="2"/>
      <x:c r="H10" s="2"/>
      <x:c r="I10" s="2"/>
      <x:c r="J10" s="2"/>
      <x:c r="K10" s="2"/>
    </x:row>
    <x:row r="11" ht="20" customHeight="1">
      <x:c r="A11" s="1"/>
      <x:c r="B11" s="1"/>
      <x:c r="C11" s="1" t="str">
        <x:v>NOPAT at H1 effective tax rate</x:v>
      </x:c>
      <x:c r="D11" s="5" t="n">
        <x:f>D10*(1-Actuals!E35/Actuals!E34)</x:f>
        <x:v>124.99298836709087</x:v>
      </x:c>
      <x:c r="E11" s="2"/>
      <x:c r="F11" s="2"/>
      <x:c r="G11" s="2"/>
      <x:c r="H11" s="2"/>
      <x:c r="I11" s="2"/>
      <x:c r="J11" s="2"/>
      <x:c r="K11" s="2"/>
    </x:row>
    <x:row r="12" ht="20" customHeight="1">
      <x:c r="A12" s="1"/>
      <x:c r="B12" s="1"/>
      <x:c r="C12" s="1" t="str">
        <x:v>D&amp;A</x:v>
      </x:c>
      <x:c r="D12" s="5" t="n">
        <x:f>Actuals!E37</x:f>
        <x:v>37.738</x:v>
      </x:c>
      <x:c r="E12" s="2"/>
      <x:c r="F12" s="2"/>
      <x:c r="G12" s="2"/>
      <x:c r="H12" s="2"/>
      <x:c r="I12" s="2"/>
      <x:c r="J12" s="2"/>
      <x:c r="K12" s="2"/>
    </x:row>
    <x:row r="13" ht="20" customHeight="1">
      <x:c r="A13" s="1"/>
      <x:c r="B13" s="1"/>
      <x:c r="C13" s="1" t="str">
        <x:v>Noncash equipment charge</x:v>
      </x:c>
      <x:c r="D13" s="5" t="n">
        <x:f>Actuals!E48</x:f>
        <x:v>4.672</x:v>
      </x:c>
      <x:c r="E13" s="2"/>
      <x:c r="F13" s="2"/>
      <x:c r="G13" s="2"/>
      <x:c r="H13" s="2"/>
      <x:c r="I13" s="2"/>
      <x:c r="J13" s="2"/>
      <x:c r="K13" s="2"/>
    </x:row>
    <x:row r="14" ht="20" customHeight="1">
      <x:c r="A14" s="1"/>
      <x:c r="B14" s="1"/>
      <x:c r="C14" s="1" t="str">
        <x:v>PP&amp;E and intangible cash investment</x:v>
      </x:c>
      <x:c r="D14" s="5" t="n">
        <x:f>SUM(Actuals!E40:E41)</x:f>
        <x:v>57.279</x:v>
      </x:c>
      <x:c r="E14" s="2"/>
      <x:c r="F14" s="2"/>
      <x:c r="G14" s="2"/>
      <x:c r="H14" s="2"/>
      <x:c r="I14" s="2"/>
      <x:c r="J14" s="2"/>
      <x:c r="K14" s="2"/>
    </x:row>
    <x:row r="15" ht="20" customHeight="1">
      <x:c r="A15" s="1"/>
      <x:c r="B15" s="1"/>
      <x:c r="C15" s="1" t="str">
        <x:v>Cash investment in operating WC</x:v>
      </x:c>
      <x:c r="D15" s="5" t="n">
        <x:f>-SUM(Actuals!E42:E46)</x:f>
        <x:v>100.35499999999998</x:v>
      </x:c>
      <x:c r="E15" s="2"/>
      <x:c r="F15" s="2"/>
      <x:c r="G15" s="2"/>
      <x:c r="H15" s="2"/>
      <x:c r="I15" s="2"/>
      <x:c r="J15" s="2"/>
      <x:c r="K15" s="2"/>
    </x:row>
    <x:row r="16" ht="20" customHeight="1">
      <x:c r="A16" s="1"/>
      <x:c r="B16" s="1"/>
      <x:c r="C16" s="1" t="str">
        <x:v>H1 normalized FCFF</x:v>
      </x:c>
      <x:c r="D16" s="4" t="n">
        <x:f>SUM(D11:D13)-SUM(D14:D15)</x:f>
        <x:v>9.768988367090884</x:v>
      </x:c>
      <x:c r="E16" s="2"/>
      <x:c r="F16" s="2"/>
      <x:c r="G16" s="2"/>
      <x:c r="H16" s="2"/>
      <x:c r="I16" s="2"/>
      <x:c r="J16" s="2"/>
      <x:c r="K16" s="2"/>
    </x:row>
    <x:row r="17" ht="20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</x:row>
    <x:row r="19" ht="20" customHeight="1">
      <x:c r="A19" s="1"/>
      <x:c r="B19" s="1"/>
      <x:c r="C19" s="1" t="str">
        <x:v>Valuation cash-flow period</x:v>
      </x:c>
      <x:c r="D19" s="2" t="str">
        <x:v>H2 2026</x:v>
      </x:c>
      <x:c r="E19" s="37" t="str">
        <x:v>2027</x:v>
      </x:c>
      <x:c r="F19" s="37" t="str">
        <x:v>2028</x:v>
      </x:c>
      <x:c r="G19" s="37" t="str">
        <x:v>2029</x:v>
      </x:c>
      <x:c r="H19" s="37" t="str">
        <x:v>2030</x:v>
      </x:c>
      <x:c r="I19" s="2"/>
      <x:c r="J19" s="2"/>
      <x:c r="K19" s="2"/>
    </x:row>
    <x:row r="20" ht="20" customHeight="1">
      <x:c r="A20" s="1"/>
      <x:c r="B20" s="1"/>
      <x:c r="C20" s="1" t="str">
        <x:v>Years from June 30, 2026</x:v>
      </x:c>
      <x:c r="D20" s="2" t="n">
        <x:v>0.5</x:v>
      </x:c>
      <x:c r="E20" s="2" t="n">
        <x:v>1.5</x:v>
      </x:c>
      <x:c r="F20" s="2" t="n">
        <x:v>2.5</x:v>
      </x:c>
      <x:c r="G20" s="2" t="n">
        <x:v>3.5</x:v>
      </x:c>
      <x:c r="H20" s="2" t="n">
        <x:v>4.5</x:v>
      </x:c>
      <x:c r="I20" s="2"/>
      <x:c r="J20" s="2"/>
      <x:c r="K20" s="2"/>
    </x:row>
    <x:row r="21" ht="20" customHeight="1">
      <x:c r="A21" s="1"/>
      <x:c r="B21" s="1"/>
      <x:c r="C21" s="1" t="str">
        <x:v>Normalized FCFF</x:v>
      </x:c>
      <x:c r="D21" s="5" t="n">
        <x:f>Operating!G26-$D$16</x:f>
        <x:v>136.5430616329092</x:v>
      </x:c>
      <x:c r="E21" s="5" t="n">
        <x:f>Operating!H26</x:f>
        <x:v>182.072603125</x:v>
      </x:c>
      <x:c r="F21" s="5" t="n">
        <x:f>Operating!I26</x:f>
        <x:v>218.41485611250005</x:v>
      </x:c>
      <x:c r="G21" s="5" t="n">
        <x:f>Operating!J26</x:f>
        <x:v>246.42484584750002</x:v>
      </x:c>
      <x:c r="H21" s="5" t="n">
        <x:f>Operating!K26</x:f>
        <x:v>264.94690594369507</x:v>
      </x:c>
      <x:c r="I21" s="2"/>
      <x:c r="J21" s="2"/>
      <x:c r="K21" s="2"/>
    </x:row>
    <x:row r="22" ht="20" customHeight="1">
      <x:c r="A22" s="1"/>
      <x:c r="B22" s="1"/>
      <x:c r="C22" s="1" t="str">
        <x:v>Discount factor</x:v>
      </x:c>
      <x:c r="D22" s="38" t="n">
        <x:f>1/(1+$D$6)^D20</x:f>
        <x:v>0.9534625892455922</x:v>
      </x:c>
      <x:c r="E22" s="38" t="n">
        <x:f>1/(1+$D$6)^E20</x:f>
        <x:v>0.8667841720414474</x:v>
      </x:c>
      <x:c r="F22" s="38" t="n">
        <x:f>1/(1+$D$6)^F20</x:f>
        <x:v>0.7879856109467703</x:v>
      </x:c>
      <x:c r="G22" s="38" t="n">
        <x:f>1/(1+$D$6)^G20</x:f>
        <x:v>0.7163505554061548</x:v>
      </x:c>
      <x:c r="H22" s="38" t="n">
        <x:f>1/(1+$D$6)^H20</x:f>
        <x:v>0.6512277776419588</x:v>
      </x:c>
      <x:c r="I22" s="2"/>
      <x:c r="J22" s="2"/>
      <x:c r="K22" s="2"/>
    </x:row>
    <x:row r="23" ht="20" customHeight="1">
      <x:c r="A23" s="1"/>
      <x:c r="B23" s="1"/>
      <x:c r="C23" s="1" t="str">
        <x:v>PV of explicit cash flow</x:v>
      </x:c>
      <x:c r="D23" s="4" t="n">
        <x:f>D21*D22</x:f>
        <x:v>130.1887010880341</x:v>
      </x:c>
      <x:c r="E23" s="4" t="n">
        <x:f>E21*E22</x:f>
        <x:v>157.81765055113416</x:v>
      </x:c>
      <x:c r="F23" s="4" t="n">
        <x:f>F21*F22</x:f>
        <x:v>172.10776383365928</x:v>
      </x:c>
      <x:c r="G23" s="4" t="n">
        <x:f>G21*G22</x:f>
        <x:v>176.52657518873272</x:v>
      </x:c>
      <x:c r="H23" s="4" t="n">
        <x:f>H21*H22</x:f>
        <x:v>172.54078475082562</x:v>
      </x:c>
      <x:c r="I23" s="2"/>
      <x:c r="J23" s="2"/>
      <x:c r="K23" s="2"/>
    </x:row>
    <x:row r="24" ht="20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</x:row>
    <x:row r="25" ht="20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</x:row>
    <x:row r="26" ht="20" customHeight="1">
      <x:c r="A26" s="1"/>
      <x:c r="B26" s="1"/>
      <x:c r="C26" s="1" t="str">
        <x:v>Terminal FCFF</x:v>
      </x:c>
      <x:c r="D26" s="4" t="n">
        <x:f>H21*(1+$D$7)</x:f>
        <x:v>271.5705785922874</x:v>
      </x:c>
      <x:c r="E26" s="2"/>
      <x:c r="F26" s="2"/>
      <x:c r="G26" s="2"/>
      <x:c r="H26" s="2"/>
      <x:c r="I26" s="2"/>
      <x:c r="J26" s="2"/>
      <x:c r="K26" s="2"/>
    </x:row>
    <x:row r="27" ht="20" customHeight="1">
      <x:c r="A27" s="1"/>
      <x:c r="B27" s="1"/>
      <x:c r="C27" s="1" t="str">
        <x:v>Terminal enterprise value</x:v>
      </x:c>
      <x:c r="D27" s="4" t="n">
        <x:f>IF(D6&gt;D7,D26/(D6-D7),NA())</x:f>
        <x:v>3620.941047897165</x:v>
      </x:c>
      <x:c r="E27" s="2"/>
      <x:c r="F27" s="2"/>
      <x:c r="G27" s="2"/>
      <x:c r="H27" s="2"/>
      <x:c r="I27" s="2"/>
      <x:c r="J27" s="2"/>
      <x:c r="K27" s="2"/>
    </x:row>
    <x:row r="28" ht="20" customHeight="1">
      <x:c r="A28" s="1"/>
      <x:c r="B28" s="1"/>
      <x:c r="C28" s="1" t="str">
        <x:v>PV of terminal value</x:v>
      </x:c>
      <x:c r="D28" s="4" t="n">
        <x:f>D27*H22</x:f>
        <x:v>2358.057391594616</x:v>
      </x:c>
      <x:c r="E28" s="2"/>
      <x:c r="F28" s="2"/>
      <x:c r="G28" s="2"/>
      <x:c r="H28" s="2"/>
      <x:c r="I28" s="2"/>
      <x:c r="J28" s="2"/>
      <x:c r="K28" s="2"/>
    </x:row>
    <x:row r="29" ht="20" customHeight="1">
      <x:c r="A29" s="1"/>
      <x:c r="B29" s="1"/>
      <x:c r="C29" s="1" t="str">
        <x:v>Enterprise value</x:v>
      </x:c>
      <x:c r="D29" s="4" t="n">
        <x:f>SUM(D23:H23)+D28</x:f>
        <x:v>3167.238867007002</x:v>
      </x:c>
      <x:c r="E29" s="2"/>
      <x:c r="F29" s="2"/>
      <x:c r="G29" s="2"/>
      <x:c r="H29" s="2"/>
      <x:c r="I29" s="2"/>
      <x:c r="J29" s="2"/>
      <x:c r="K29" s="2"/>
    </x:row>
    <x:row r="30" ht="20" customHeight="1">
      <x:c r="A30" s="1"/>
      <x:c r="B30" s="1"/>
      <x:c r="C30" s="1" t="str">
        <x:v>Cash at June 30, 2026</x:v>
      </x:c>
      <x:c r="D30" s="5" t="n">
        <x:f>Actuals!F51</x:f>
        <x:v>6.475</x:v>
      </x:c>
      <x:c r="E30" s="2"/>
      <x:c r="F30" s="2"/>
      <x:c r="G30" s="2"/>
      <x:c r="H30" s="2"/>
      <x:c r="I30" s="2"/>
      <x:c r="J30" s="2"/>
      <x:c r="K30" s="2"/>
    </x:row>
    <x:row r="31" ht="20" customHeight="1">
      <x:c r="A31" s="1"/>
      <x:c r="B31" s="1"/>
      <x:c r="C31" s="1" t="str">
        <x:v>Revolving credit at June 30, 2026</x:v>
      </x:c>
      <x:c r="D31" s="5" t="n">
        <x:f>Actuals!F52</x:f>
        <x:v>253</x:v>
      </x:c>
      <x:c r="E31" s="2"/>
      <x:c r="F31" s="2"/>
      <x:c r="G31" s="2"/>
      <x:c r="H31" s="2"/>
      <x:c r="I31" s="2"/>
      <x:c r="J31" s="2"/>
      <x:c r="K31" s="2"/>
    </x:row>
    <x:row r="32" ht="20" customHeight="1">
      <x:c r="A32" s="1"/>
      <x:c r="B32" s="1"/>
      <x:c r="C32" s="1" t="str">
        <x:v>Equity value</x:v>
      </x:c>
      <x:c r="D32" s="4" t="n">
        <x:f>D29+D30-D31</x:f>
        <x:v>2920.713867007002</x:v>
      </x:c>
      <x:c r="E32" s="2"/>
      <x:c r="F32" s="2"/>
      <x:c r="G32" s="2"/>
      <x:c r="H32" s="2"/>
      <x:c r="I32" s="2"/>
      <x:c r="J32" s="2"/>
      <x:c r="K32" s="2"/>
    </x:row>
    <x:row r="33" ht="20" customHeight="1">
      <x:c r="A33" s="1"/>
      <x:c r="B33" s="1"/>
      <x:c r="C33" s="1" t="str">
        <x:v>Common shares outstanding (millions)</x:v>
      </x:c>
      <x:c r="D33" s="5" t="n">
        <x:f>Actuals!F56</x:f>
        <x:v>101.865035</x:v>
      </x:c>
      <x:c r="E33" s="2"/>
      <x:c r="F33" s="2"/>
      <x:c r="G33" s="2"/>
      <x:c r="H33" s="2"/>
      <x:c r="I33" s="2"/>
      <x:c r="J33" s="2"/>
      <x:c r="K33" s="2"/>
    </x:row>
    <x:row r="34" ht="20" customHeight="1">
      <x:c r="A34" s="1"/>
      <x:c r="B34" s="1"/>
      <x:c r="C34" s="1" t="str">
        <x:v>Illustrative value per common share</x:v>
      </x:c>
      <x:c r="D34" s="21" t="n">
        <x:f>D32/D33</x:f>
        <x:v>28.67238858757573</x:v>
      </x:c>
      <x:c r="E34" s="2"/>
      <x:c r="F34" s="2"/>
      <x:c r="G34" s="2"/>
      <x:c r="H34" s="2"/>
      <x:c r="I34" s="2"/>
      <x:c r="J34" s="2"/>
      <x:c r="K34" s="2"/>
    </x:row>
    <x:row r="35" ht="20" customHeight="1">
      <x:c r="A35" s="1"/>
      <x:c r="B35" s="1"/>
      <x:c r="C35" s="1" t="str">
        <x:v>PV terminal value / enterprise value</x:v>
      </x:c>
      <x:c r="D35" s="15" t="n">
        <x:f>D28/D29</x:f>
        <x:v>0.7445151725556299</x:v>
      </x:c>
      <x:c r="E35" s="2"/>
      <x:c r="F35" s="2"/>
      <x:c r="G35" s="2"/>
      <x:c r="H35" s="2"/>
      <x:c r="I35" s="2"/>
      <x:c r="J35" s="2"/>
      <x:c r="K35" s="2"/>
    </x:row>
    <x:row r="36" ht="20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</x:row>
    <x:row r="37" ht="20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1"/>
      <x:c r="B38" s="1"/>
      <x:c r="C38" s="19" t="str">
        <x:v>Equity value per common share: WACC / terminal growth</x:v>
      </x:c>
      <x:c r="D38" s="20"/>
      <x:c r="E38" s="20"/>
      <x:c r="F38" s="20"/>
      <x:c r="G38" s="20"/>
      <x:c r="H38" s="20"/>
      <x:c r="I38" s="20"/>
      <x:c r="J38" s="20"/>
      <x:c r="K38" s="20"/>
    </x:row>
    <x:row r="39" ht="20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</x:row>
    <x:row r="40" ht="20" customHeight="1">
      <x:c r="A40" s="1"/>
      <x:c r="B40" s="1"/>
      <x:c r="C40" s="1"/>
      <x:c r="D40" s="23" t="n">
        <x:f>D34</x:f>
        <x:v>28.67238858757573</x:v>
      </x:c>
      <x:c r="E40" s="14" t="n">
        <x:v>0.015</x:v>
      </x:c>
      <x:c r="F40" s="14" t="n">
        <x:v>0.02</x:v>
      </x:c>
      <x:c r="G40" s="14" t="n">
        <x:v>0.025</x:v>
      </x:c>
      <x:c r="H40" s="14" t="n">
        <x:v>0.03</x:v>
      </x:c>
      <x:c r="I40" s="14" t="n">
        <x:v>0.035</x:v>
      </x:c>
      <x:c r="J40" s="2"/>
      <x:c r="K40" s="2"/>
    </x:row>
    <x:row r="41" ht="20" customHeight="1">
      <x:c r="A41" s="1"/>
      <x:c r="B41" s="1"/>
      <x:c r="C41" s="1"/>
      <x:c r="D41" s="14" t="n">
        <x:v>0.08</x:v>
      </x:c>
      <x:c r="E41" s="22" t="n">
        <x:f t="dataTable" ref="E41:I45" dt2D="1" r1="D7" r2="D6"/>
        <x:v>34.6449016911561</x:v>
      </x:c>
      <x:c r="F41" s="22" t="n">
        <x:v>37.1920601691068</x:v>
      </x:c>
      <x:c r="G41" s="22" t="n">
        <x:v>40.2023383703212</x:v>
      </x:c>
      <x:c r="H41" s="22" t="n">
        <x:v>43.8146722117786</x:v>
      </x:c>
      <x:c r="I41" s="22" t="n">
        <x:v>48.2297469068931</x:v>
      </x:c>
      <x:c r="J41" s="2"/>
      <x:c r="K41" s="2"/>
    </x:row>
    <x:row r="42" ht="20" customHeight="1">
      <x:c r="A42" s="1"/>
      <x:c r="B42" s="1"/>
      <x:c r="C42" s="1"/>
      <x:c r="D42" s="14" t="n">
        <x:v>0.09</x:v>
      </x:c>
      <x:c r="E42" s="22" t="n">
        <x:v>29.6018016799324</x:v>
      </x:c>
      <x:c r="F42" s="22" t="n">
        <x:v>31.4339122131252</x:v>
      </x:c>
      <x:c r="G42" s="22" t="n">
        <x:v>33.5478859052708</x:v>
      </x:c>
      <x:c r="H42" s="22" t="n">
        <x:v>36.0141885461073</x:v>
      </x:c>
      <x:c r="I42" s="22" t="n">
        <x:v>38.928909848914</x:v>
      </x:c>
      <x:c r="J42" s="2"/>
      <x:c r="K42" s="2"/>
    </x:row>
    <x:row r="43" ht="20" customHeight="1">
      <x:c r="A43" s="1"/>
      <x:c r="B43" s="1"/>
      <x:c r="C43" s="1"/>
      <x:c r="D43" s="14" t="n">
        <x:v>0.1</x:v>
      </x:c>
      <x:c r="E43" s="22" t="n">
        <x:v>25.7497229986302</x:v>
      </x:c>
      <x:c r="F43" s="22" t="n">
        <x:v>27.1197224934484</x:v>
      </x:c>
      <x:c r="G43" s="22" t="n">
        <x:v>28.6723885875757</x:v>
      </x:c>
      <x:c r="H43" s="22" t="n">
        <x:v>30.4468641237212</x:v>
      </x:c>
      <x:c r="I43" s="22" t="n">
        <x:v>32.4943358961968</x:v>
      </x:c>
      <x:c r="J43" s="2"/>
      <x:c r="K43" s="2"/>
    </x:row>
    <x:row r="44" ht="20" customHeight="1">
      <x:c r="A44" s="1"/>
      <x:c r="B44" s="1"/>
      <x:c r="C44" s="1"/>
      <x:c r="D44" s="14" t="n">
        <x:v>0.11</x:v>
      </x:c>
      <x:c r="E44" s="22" t="n">
        <x:v>22.712386697959</x:v>
      </x:c>
      <x:c r="F44" s="22" t="n">
        <x:v>23.7680056465299</x:v>
      </x:c>
      <x:c r="G44" s="22" t="n">
        <x:v>24.9478150596385</x:v>
      </x:c>
      <x:c r="H44" s="22" t="n">
        <x:v>26.2751006493858</x:v>
      </x:c>
      <x:c r="I44" s="22" t="n">
        <x:v>27.7793576510993</x:v>
      </x:c>
      <x:c r="J44" s="2"/>
      <x:c r="K44" s="2"/>
    </x:row>
    <x:row r="45" ht="20" customHeight="1">
      <x:c r="A45" s="1"/>
      <x:c r="B45" s="1"/>
      <x:c r="C45" s="1"/>
      <x:c r="D45" s="14" t="n">
        <x:v>0.12</x:v>
      </x:c>
      <x:c r="E45" s="22" t="n">
        <x:v>20.2568658967843</x:v>
      </x:c>
      <x:c r="F45" s="22" t="n">
        <x:v>21.089878053399</x:v>
      </x:c>
      <x:c r="G45" s="22" t="n">
        <x:v>22.0105757001836</x:v>
      </x:c>
      <x:c r="H45" s="22" t="n">
        <x:v>23.0335730854999</x:v>
      </x:c>
      <x:c r="I45" s="22" t="n">
        <x:v>24.1769231043828</x:v>
      </x:c>
      <x:c r="J45" s="2"/>
      <x:c r="K45" s="2"/>
    </x:row>
    <x:row r="46" ht="20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</x:row>
    <x:row r="47" ht="20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</x:row>
    <x:row r="48" ht="20" customHeight="1">
      <x:c r="A48" s="1"/>
      <x:c r="B48" s="1"/>
      <x:c r="C48" s="7" t="str">
        <x:v>Valuation reference: June 30, 2026. Information cutoff: October 26, 2026. Retrospective update.</x:v>
      </x:c>
      <x:c r="D48" s="8"/>
      <x:c r="E48" s="8"/>
      <x:c r="F48" s="8"/>
      <x:c r="G48" s="8"/>
      <x:c r="H48" s="8"/>
      <x:c r="I48" s="8"/>
      <x:c r="J48" s="8"/>
      <x:c r="K48" s="8"/>
    </x:row>
    <x:row r="49" ht="20" customHeight="1">
      <x:c r="A49" s="1"/>
      <x:c r="B49" s="1"/>
      <x:c r="C49" s="7" t="str">
        <x:v>Year-end discounting: 0.5 years for H2 2026, then 1.5–4.5 years. Terminal value at December 31, 2030.</x:v>
      </x:c>
      <x:c r="D49" s="8"/>
      <x:c r="E49" s="8"/>
      <x:c r="F49" s="8"/>
      <x:c r="G49" s="8"/>
      <x:c r="H49" s="8"/>
      <x:c r="I49" s="8"/>
      <x:c r="J49" s="8"/>
      <x:c r="K49" s="8"/>
    </x:row>
    <x:row r="50" ht="20" customHeight="1">
      <x:c r="A50" s="1"/>
      <x:c r="B50" s="1"/>
      <x:c r="C50" s="7" t="str">
        <x:v>10% WACC and 2.5% terminal growth are analyst screening assumptions, not market-derived estimates.</x:v>
      </x:c>
      <x:c r="D50" s="8"/>
      <x:c r="E50" s="8"/>
      <x:c r="F50" s="8"/>
      <x:c r="G50" s="8"/>
      <x:c r="H50" s="8"/>
      <x:c r="I50" s="8"/>
      <x:c r="J50" s="8"/>
      <x:c r="K50" s="8"/>
    </x:row>
    <x:row r="51" ht="20" customHeight="1">
      <x:c r="A51" s="1"/>
      <x:c r="B51" s="1"/>
      <x:c r="C51" s="7" t="str">
        <x:v>No current trading price or investment recommendation. Common-share value excludes future dilution.</x:v>
      </x:c>
      <x:c r="D51" s="8"/>
      <x:c r="E51" s="8"/>
      <x:c r="F51" s="8"/>
      <x:c r="G51" s="8"/>
      <x:c r="H51" s="8"/>
      <x:c r="I51" s="8"/>
      <x:c r="J51" s="8"/>
      <x:c r="K51" s="8"/>
    </x:row>
    <x:row r="52" ht="20" customHeight="1">
      <x:c r="A52" s="1"/>
      <x:c r="B52" s="1"/>
      <x:c r="C52" s="7" t="str">
        <x:v>FCFF retains SBC as an economic cost and excludes tax timing. See normalization comparison on Checks.</x:v>
      </x:c>
      <x:c r="D52" s="8"/>
      <x:c r="E52" s="8"/>
      <x:c r="F52" s="8"/>
      <x:c r="G52" s="8"/>
      <x:c r="H52" s="8"/>
      <x:c r="I52" s="8"/>
      <x:c r="J52" s="8"/>
      <x:c r="K52" s="8"/>
    </x:row>
    <x:row r="53" ht="20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0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0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0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</x:row>
    <x:row r="60" ht="20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</x:row>
    <x:row r="62" ht="20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</x:row>
    <x:row r="64" ht="20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</x:row>
    <x:row r="67" ht="20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Actuals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</x:row>
    <x:row r="7" ht="20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</x:row>
    <x:row r="8" ht="20" customHeight="1">
      <x:c r="A8" s="1"/>
      <x:c r="B8" s="1"/>
      <x:c r="C8" s="27" t="str">
        <x:v>Reported annual financials</x:v>
      </x:c>
      <x:c r="D8" s="35" t="n">
        <x:v>2023</x:v>
      </x:c>
      <x:c r="E8" s="35" t="n">
        <x:v>2024</x:v>
      </x:c>
      <x:c r="F8" s="35" t="n">
        <x:v>2025</x:v>
      </x:c>
      <x:c r="G8" s="35"/>
      <x:c r="H8" s="35"/>
      <x:c r="I8" s="35"/>
      <x:c r="J8" s="35"/>
      <x:c r="K8" s="35"/>
    </x:row>
    <x:row r="9" ht="20" customHeight="1">
      <x:c r="A9" s="1"/>
      <x:c r="B9" s="1"/>
      <x:c r="C9" s="1" t="str">
        <x:v>revenue</x:v>
      </x:c>
      <x:c r="D9" s="9" t="n">
        <x:v>1094.837</x:v>
      </x:c>
      <x:c r="E9" s="9" t="n">
        <x:v>1151.449</x:v>
      </x:c>
      <x:c r="F9" s="9" t="n">
        <x:v>1174.267</x:v>
      </x:c>
      <x:c r="G9" s="2"/>
      <x:c r="H9" s="2"/>
      <x:c r="I9" s="2"/>
      <x:c r="J9" s="2"/>
      <x:c r="K9" s="2"/>
    </x:row>
    <x:row r="10" ht="20" customHeight="1">
      <x:c r="A10" s="1"/>
      <x:c r="B10" s="1"/>
      <x:c r="C10" s="1" t="str">
        <x:v>cost sales</x:v>
      </x:c>
      <x:c r="D10" s="9" t="n">
        <x:v>644.042</x:v>
      </x:c>
      <x:c r="E10" s="9" t="n">
        <x:v>649.551</x:v>
      </x:c>
      <x:c r="F10" s="9" t="n">
        <x:v>714.303</x:v>
      </x:c>
      <x:c r="G10" s="2"/>
      <x:c r="H10" s="2"/>
      <x:c r="I10" s="2"/>
      <x:c r="J10" s="2"/>
      <x:c r="K10" s="2"/>
    </x:row>
    <x:row r="11" ht="20" customHeight="1">
      <x:c r="A11" s="1"/>
      <x:c r="B11" s="1"/>
      <x:c r="C11" s="1" t="str">
        <x:v>gross profit</x:v>
      </x:c>
      <x:c r="D11" s="9" t="n">
        <x:v>450.795</x:v>
      </x:c>
      <x:c r="E11" s="9" t="n">
        <x:v>501.898</x:v>
      </x:c>
      <x:c r="F11" s="9" t="n">
        <x:v>459.964</x:v>
      </x:c>
      <x:c r="G11" s="2"/>
      <x:c r="H11" s="2"/>
      <x:c r="I11" s="2"/>
      <x:c r="J11" s="2"/>
      <x:c r="K11" s="2"/>
    </x:row>
    <x:row r="12" ht="20" customHeight="1">
      <x:c r="A12" s="1"/>
      <x:c r="B12" s="1"/>
      <x:c r="C12" s="1" t="str">
        <x:v>sga</x:v>
      </x:c>
      <x:c r="D12" s="9" t="n">
        <x:v>176.203</x:v>
      </x:c>
      <x:c r="E12" s="9" t="n">
        <x:v>179.995</x:v>
      </x:c>
      <x:c r="F12" s="9" t="n">
        <x:v>202.003</x:v>
      </x:c>
      <x:c r="G12" s="2"/>
      <x:c r="H12" s="2"/>
      <x:c r="I12" s="2"/>
      <x:c r="J12" s="2"/>
      <x:c r="K12" s="2"/>
    </x:row>
    <x:row r="13" ht="20" customHeight="1">
      <x:c r="A13" s="1"/>
      <x:c r="B13" s="1"/>
      <x:c r="C13" s="1" t="str">
        <x:v>ebit</x:v>
      </x:c>
      <x:c r="D13" s="9" t="n">
        <x:v>274.592</x:v>
      </x:c>
      <x:c r="E13" s="9" t="n">
        <x:v>321.903</x:v>
      </x:c>
      <x:c r="F13" s="9" t="n">
        <x:v>257.961</x:v>
      </x:c>
      <x:c r="G13" s="2"/>
      <x:c r="H13" s="2"/>
      <x:c r="I13" s="2"/>
      <x:c r="J13" s="2"/>
      <x:c r="K13" s="2"/>
    </x:row>
    <x:row r="14" ht="20" customHeight="1">
      <x:c r="A14" s="1"/>
      <x:c r="B14" s="1"/>
      <x:c r="C14" s="1" t="str">
        <x:v>tax</x:v>
      </x:c>
      <x:c r="D14" s="9" t="n">
        <x:v>70.468</x:v>
      </x:c>
      <x:c r="E14" s="9" t="n">
        <x:v>83.468</x:v>
      </x:c>
      <x:c r="F14" s="9" t="n">
        <x:v>67.546</x:v>
      </x:c>
      <x:c r="G14" s="2"/>
      <x:c r="H14" s="2"/>
      <x:c r="I14" s="2"/>
      <x:c r="J14" s="2"/>
      <x:c r="K14" s="2"/>
    </x:row>
    <x:row r="15" ht="20" customHeight="1">
      <x:c r="A15" s="1"/>
      <x:c r="B15" s="1"/>
      <x:c r="C15" s="1" t="str">
        <x:v>pretax</x:v>
      </x:c>
      <x:c r="D15" s="9" t="n">
        <x:v>274.587</x:v>
      </x:c>
      <x:c r="E15" s="9" t="n">
        <x:v>321.914</x:v>
      </x:c>
      <x:c r="F15" s="9" t="n">
        <x:v>257.961</x:v>
      </x:c>
      <x:c r="G15" s="2"/>
      <x:c r="H15" s="2"/>
      <x:c r="I15" s="2"/>
      <x:c r="J15" s="2"/>
      <x:c r="K15" s="2"/>
    </x:row>
    <x:row r="16" ht="20" customHeight="1">
      <x:c r="A16" s="1"/>
      <x:c r="B16" s="1"/>
      <x:c r="C16" s="1" t="str">
        <x:v>net income</x:v>
      </x:c>
      <x:c r="D16" s="9" t="n">
        <x:v>204.119</x:v>
      </x:c>
      <x:c r="E16" s="9" t="n">
        <x:v>238.446</x:v>
      </x:c>
      <x:c r="F16" s="9" t="n">
        <x:v>190.415</x:v>
      </x:c>
      <x:c r="G16" s="2"/>
      <x:c r="H16" s="2"/>
      <x:c r="I16" s="2"/>
      <x:c r="J16" s="2"/>
      <x:c r="K16" s="2"/>
    </x:row>
    <x:row r="17" ht="20" customHeight="1">
      <x:c r="A17" s="1"/>
      <x:c r="B17" s="1"/>
      <x:c r="C17" s="1" t="str">
        <x:v>da</x:v>
      </x:c>
      <x:c r="D17" s="9" t="n">
        <x:v>50.189</x:v>
      </x:c>
      <x:c r="E17" s="9" t="n">
        <x:v>54.67</x:v>
      </x:c>
      <x:c r="F17" s="9" t="n">
        <x:v>62.957</x:v>
      </x:c>
      <x:c r="G17" s="2"/>
      <x:c r="H17" s="2"/>
      <x:c r="I17" s="2"/>
      <x:c r="J17" s="2"/>
      <x:c r="K17" s="2"/>
    </x:row>
    <x:row r="18" ht="20" customHeight="1">
      <x:c r="A18" s="1"/>
      <x:c r="B18" s="1"/>
      <x:c r="C18" s="1" t="str">
        <x:v>sbc</x:v>
      </x:c>
      <x:c r="D18" s="9" t="n">
        <x:v>10.164</x:v>
      </x:c>
      <x:c r="E18" s="9" t="n">
        <x:v>12.635</x:v>
      </x:c>
      <x:c r="F18" s="9" t="n">
        <x:v>9.115</x:v>
      </x:c>
      <x:c r="G18" s="2"/>
      <x:c r="H18" s="2"/>
      <x:c r="I18" s="2"/>
      <x:c r="J18" s="2"/>
      <x:c r="K18" s="2"/>
    </x:row>
    <x:row r="19" ht="20" customHeight="1">
      <x:c r="A19" s="1"/>
      <x:c r="B19" s="1"/>
      <x:c r="C19" s="1" t="str">
        <x:v>cfo</x:v>
      </x:c>
      <x:c r="D19" s="9" t="n">
        <x:v>389.42</x:v>
      </x:c>
      <x:c r="E19" s="9" t="n">
        <x:v>143.929</x:v>
      </x:c>
      <x:c r="F19" s="9" t="n">
        <x:v>358.113</x:v>
      </x:c>
      <x:c r="G19" s="2"/>
      <x:c r="H19" s="2"/>
      <x:c r="I19" s="2"/>
      <x:c r="J19" s="2"/>
      <x:c r="K19" s="2"/>
    </x:row>
    <x:row r="20" ht="20" customHeight="1">
      <x:c r="A20" s="1"/>
      <x:c r="B20" s="1"/>
      <x:c r="C20" s="1" t="str">
        <x:v>capex cash outflow</x:v>
      </x:c>
      <x:c r="D20" s="9" t="n">
        <x:v>166.089</x:v>
      </x:c>
      <x:c r="E20" s="9" t="n">
        <x:v>232.337</x:v>
      </x:c>
      <x:c r="F20" s="9" t="n">
        <x:v>223.592</x:v>
      </x:c>
      <x:c r="G20" s="2"/>
      <x:c r="H20" s="2"/>
      <x:c r="I20" s="2"/>
      <x:c r="J20" s="2"/>
      <x:c r="K20" s="2"/>
    </x:row>
    <x:row r="21" ht="20" customHeight="1">
      <x:c r="A21" s="1"/>
      <x:c r="B21" s="1"/>
      <x:c r="C21" s="1" t="str">
        <x:v>intangible investment outflow</x:v>
      </x:c>
      <x:c r="D21" s="9" t="n">
        <x:v>0</x:v>
      </x:c>
      <x:c r="E21" s="9" t="n">
        <x:v>4.304</x:v>
      </x:c>
      <x:c r="F21" s="9" t="n">
        <x:v>9.983</x:v>
      </x:c>
      <x:c r="G21" s="2"/>
      <x:c r="H21" s="2"/>
      <x:c r="I21" s="2"/>
      <x:c r="J21" s="2"/>
      <x:c r="K21" s="2"/>
    </x:row>
    <x:row r="22" ht="20" customHeight="1">
      <x:c r="A22" s="1"/>
      <x:c r="B22" s="1"/>
      <x:c r="C22" s="1" t="str">
        <x:v>change ar</x:v>
      </x:c>
      <x:c r="D22" s="9" t="n">
        <x:v>56.921</x:v>
      </x:c>
      <x:c r="E22" s="9" t="n">
        <x:v>-47.22</x:v>
      </x:c>
      <x:c r="F22" s="9" t="n">
        <x:v>40.265</x:v>
      </x:c>
      <x:c r="G22" s="2"/>
      <x:c r="H22" s="2"/>
      <x:c r="I22" s="2"/>
      <x:c r="J22" s="2"/>
      <x:c r="K22" s="2"/>
    </x:row>
    <x:row r="23" ht="20" customHeight="1">
      <x:c r="A23" s="1"/>
      <x:c r="B23" s="1"/>
      <x:c r="C23" s="1" t="str">
        <x:v>change inventory</x:v>
      </x:c>
      <x:c r="D23" s="9" t="n">
        <x:v>35.878</x:v>
      </x:c>
      <x:c r="E23" s="9" t="n">
        <x:v>-116.423</x:v>
      </x:c>
      <x:c r="F23" s="9" t="n">
        <x:v>18.286</x:v>
      </x:c>
      <x:c r="G23" s="2"/>
      <x:c r="H23" s="2"/>
      <x:c r="I23" s="2"/>
      <x:c r="J23" s="2"/>
      <x:c r="K23" s="2"/>
    </x:row>
    <x:row r="24" ht="20" customHeight="1">
      <x:c r="A24" s="1"/>
      <x:c r="B24" s="1"/>
      <x:c r="C24" s="1" t="str">
        <x:v>change prepaid</x:v>
      </x:c>
      <x:c r="D24" s="9" t="n">
        <x:v>-0.75</x:v>
      </x:c>
      <x:c r="E24" s="9" t="n">
        <x:v>-10.65</x:v>
      </x:c>
      <x:c r="F24" s="9" t="n">
        <x:v>3.468</x:v>
      </x:c>
      <x:c r="G24" s="2"/>
      <x:c r="H24" s="2"/>
      <x:c r="I24" s="2"/>
      <x:c r="J24" s="2"/>
      <x:c r="K24" s="2"/>
    </x:row>
    <x:row r="25" ht="20" customHeight="1">
      <x:c r="A25" s="1"/>
      <x:c r="B25" s="1"/>
      <x:c r="C25" s="1" t="str">
        <x:v>change ap</x:v>
      </x:c>
      <x:c r="D25" s="9" t="n">
        <x:v>2.697</x:v>
      </x:c>
      <x:c r="E25" s="9" t="n">
        <x:v>-0.819</x:v>
      </x:c>
      <x:c r="F25" s="9" t="n">
        <x:v>6.878</x:v>
      </x:c>
      <x:c r="G25" s="2"/>
      <x:c r="H25" s="2"/>
      <x:c r="I25" s="2"/>
      <x:c r="J25" s="2"/>
      <x:c r="K25" s="2"/>
    </x:row>
    <x:row r="26" ht="20" customHeight="1">
      <x:c r="A26" s="1"/>
      <x:c r="B26" s="1"/>
      <x:c r="C26" s="1" t="str">
        <x:v>change accrued</x:v>
      </x:c>
      <x:c r="D26" s="9" t="n">
        <x:v>8.875</x:v>
      </x:c>
      <x:c r="E26" s="9" t="n">
        <x:v>12.162</x:v>
      </x:c>
      <x:c r="F26" s="9" t="n">
        <x:v>8.771</x:v>
      </x:c>
      <x:c r="G26" s="2"/>
      <x:c r="H26" s="2"/>
      <x:c r="I26" s="2"/>
      <x:c r="J26" s="2"/>
      <x:c r="K26" s="2"/>
    </x:row>
    <x:row r="27" ht="20" customHeight="1">
      <x:c r="A27" s="1"/>
      <x:c r="B27" s="1"/>
      <x:c r="C27" s="1" t="str">
        <x:v>disposal loss</x:v>
      </x:c>
      <x:c r="D27" s="9" t="n">
        <x:v>3.14</x:v>
      </x:c>
      <x:c r="E27" s="9" t="n">
        <x:v>2.644</x:v>
      </x:c>
      <x:c r="F27" s="9" t="n">
        <x:v>0.522</x:v>
      </x:c>
      <x:c r="G27" s="2"/>
      <x:c r="H27" s="2"/>
      <x:c r="I27" s="2"/>
      <x:c r="J27" s="2"/>
      <x:c r="K27" s="2"/>
    </x:row>
    <x:row r="28" ht="20" customHeight="1">
      <x:c r="A28" s="1"/>
      <x:c r="B28" s="1"/>
      <x:c r="C28" s="1"/>
      <x:c r="D28" s="9"/>
      <x:c r="E28" s="9"/>
      <x:c r="F28" s="9"/>
      <x:c r="G28" s="2"/>
      <x:c r="H28" s="2"/>
      <x:c r="I28" s="2"/>
      <x:c r="J28" s="2"/>
      <x:c r="K28" s="2"/>
    </x:row>
    <x:row r="29" ht="20" customHeight="1">
      <x:c r="A29" s="1"/>
      <x:c r="B29" s="1"/>
      <x:c r="C29" s="1" t="str">
        <x:v>2023–24 restated comparatives from FY2025 10-K.</x:v>
      </x:c>
      <x:c r="D29" s="9"/>
      <x:c r="E29" s="9"/>
      <x:c r="F29" s="9"/>
      <x:c r="G29" s="2"/>
      <x:c r="H29" s="2"/>
      <x:c r="I29" s="2"/>
      <x:c r="J29" s="2"/>
      <x:c r="K29" s="2"/>
    </x:row>
    <x:row r="30" ht="20" customHeight="1">
      <x:c r="A30" s="1"/>
      <x:c r="B30" s="1"/>
      <x:c r="C30" s="1"/>
      <x:c r="D30" s="9"/>
      <x:c r="E30" s="9"/>
      <x:c r="F30" s="9"/>
      <x:c r="G30" s="2"/>
      <x:c r="H30" s="2"/>
      <x:c r="I30" s="2"/>
      <x:c r="J30" s="2"/>
      <x:c r="K30" s="2"/>
    </x:row>
    <x:row r="31" ht="20" customHeight="1">
      <x:c r="A31" s="1"/>
      <x:c r="B31" s="1"/>
      <x:c r="C31" s="1" t="str">
        <x:v>Interim reported financials</x:v>
      </x:c>
      <x:c r="D31" s="9" t="str">
        <x:v>H1 2025</x:v>
      </x:c>
      <x:c r="E31" s="9" t="str">
        <x:v>H1 2026</x:v>
      </x:c>
      <x:c r="F31" s="9"/>
      <x:c r="G31" s="2"/>
      <x:c r="H31" s="2"/>
      <x:c r="I31" s="2"/>
      <x:c r="J31" s="2"/>
      <x:c r="K31" s="2"/>
    </x:row>
    <x:row r="32" ht="20" customHeight="1">
      <x:c r="A32" s="1"/>
      <x:c r="B32" s="1"/>
      <x:c r="C32" s="1" t="str">
        <x:v>sales</x:v>
      </x:c>
      <x:c r="D32" s="9" t="n">
        <x:v>727.794</x:v>
      </x:c>
      <x:c r="E32" s="9" t="n">
        <x:v>761.422</x:v>
      </x:c>
      <x:c r="F32" s="9"/>
      <x:c r="G32" s="2"/>
      <x:c r="H32" s="2"/>
      <x:c r="I32" s="2"/>
      <x:c r="J32" s="2"/>
      <x:c r="K32" s="2"/>
    </x:row>
    <x:row r="33" ht="20" customHeight="1">
      <x:c r="A33" s="1"/>
      <x:c r="B33" s="1"/>
      <x:c r="C33" s="1" t="str">
        <x:v>ebit</x:v>
      </x:c>
      <x:c r="D33" s="9" t="n">
        <x:v>184.062</x:v>
      </x:c>
      <x:c r="E33" s="9" t="n">
        <x:v>169.697</x:v>
      </x:c>
      <x:c r="F33" s="9"/>
      <x:c r="G33" s="2"/>
      <x:c r="H33" s="2"/>
      <x:c r="I33" s="2"/>
      <x:c r="J33" s="2"/>
      <x:c r="K33" s="2"/>
    </x:row>
    <x:row r="34" ht="20" customHeight="1">
      <x:c r="A34" s="1"/>
      <x:c r="B34" s="1"/>
      <x:c r="C34" s="1" t="str">
        <x:v>pretax</x:v>
      </x:c>
      <x:c r="D34" s="9" t="n">
        <x:v>184.062</x:v>
      </x:c>
      <x:c r="E34" s="9" t="n">
        <x:v>167.37</x:v>
      </x:c>
      <x:c r="F34" s="9"/>
      <x:c r="G34" s="2"/>
      <x:c r="H34" s="2"/>
      <x:c r="I34" s="2"/>
      <x:c r="J34" s="2"/>
      <x:c r="K34" s="2"/>
    </x:row>
    <x:row r="35" ht="20" customHeight="1">
      <x:c r="A35" s="1"/>
      <x:c r="B35" s="1"/>
      <x:c r="C35" s="1" t="str">
        <x:v>tax</x:v>
      </x:c>
      <x:c r="D35" s="9" t="n">
        <x:v>47.719</x:v>
      </x:c>
      <x:c r="E35" s="9" t="n">
        <x:v>44.091</x:v>
      </x:c>
      <x:c r="F35" s="9"/>
      <x:c r="G35" s="2"/>
      <x:c r="H35" s="2"/>
      <x:c r="I35" s="2"/>
      <x:c r="J35" s="2"/>
      <x:c r="K35" s="2"/>
    </x:row>
    <x:row r="36" ht="20" customHeight="1">
      <x:c r="A36" s="1"/>
      <x:c r="B36" s="1"/>
      <x:c r="C36" s="1" t="str">
        <x:v>net income</x:v>
      </x:c>
      <x:c r="D36" s="9" t="n">
        <x:v>136.343</x:v>
      </x:c>
      <x:c r="E36" s="9" t="n">
        <x:v>123.279</x:v>
      </x:c>
      <x:c r="F36" s="9"/>
      <x:c r="G36" s="2"/>
      <x:c r="H36" s="2"/>
      <x:c r="I36" s="2"/>
      <x:c r="J36" s="2"/>
      <x:c r="K36" s="2"/>
    </x:row>
    <x:row r="37" ht="20" customHeight="1">
      <x:c r="A37" s="1"/>
      <x:c r="B37" s="1"/>
      <x:c r="C37" s="1" t="str">
        <x:v>da</x:v>
      </x:c>
      <x:c r="D37" s="9" t="n">
        <x:v>30.057</x:v>
      </x:c>
      <x:c r="E37" s="9" t="n">
        <x:v>37.738</x:v>
      </x:c>
      <x:c r="F37" s="9"/>
      <x:c r="G37" s="2"/>
      <x:c r="H37" s="2"/>
      <x:c r="I37" s="2"/>
      <x:c r="J37" s="2"/>
      <x:c r="K37" s="2"/>
    </x:row>
    <x:row r="38" ht="20" customHeight="1">
      <x:c r="A38" s="1"/>
      <x:c r="B38" s="1"/>
      <x:c r="C38" s="1" t="str">
        <x:v>sbc</x:v>
      </x:c>
      <x:c r="D38" s="9" t="n">
        <x:v>5.247</x:v>
      </x:c>
      <x:c r="E38" s="9" t="n">
        <x:v>5.474</x:v>
      </x:c>
      <x:c r="F38" s="9"/>
      <x:c r="G38" s="2"/>
      <x:c r="H38" s="2"/>
      <x:c r="I38" s="2"/>
      <x:c r="J38" s="2"/>
      <x:c r="K38" s="2"/>
    </x:row>
    <x:row r="39" ht="20" customHeight="1">
      <x:c r="A39" s="1"/>
      <x:c r="B39" s="1"/>
      <x:c r="C39" s="1" t="str">
        <x:v>cfo</x:v>
      </x:c>
      <x:c r="D39" s="9" t="n">
        <x:v>95.739</x:v>
      </x:c>
      <x:c r="E39" s="9" t="n">
        <x:v>95.74</x:v>
      </x:c>
      <x:c r="F39" s="9"/>
      <x:c r="G39" s="2"/>
      <x:c r="H39" s="2"/>
      <x:c r="I39" s="2"/>
      <x:c r="J39" s="2"/>
      <x:c r="K39" s="2"/>
    </x:row>
    <x:row r="40" ht="20" customHeight="1">
      <x:c r="A40" s="1"/>
      <x:c r="B40" s="1"/>
      <x:c r="C40" s="1" t="str">
        <x:v>capex cash outflow</x:v>
      </x:c>
      <x:c r="D40" s="9" t="n">
        <x:v>126.275</x:v>
      </x:c>
      <x:c r="E40" s="9" t="n">
        <x:v>52.737</x:v>
      </x:c>
      <x:c r="F40" s="9"/>
      <x:c r="G40" s="2"/>
      <x:c r="H40" s="2"/>
      <x:c r="I40" s="2"/>
      <x:c r="J40" s="2"/>
      <x:c r="K40" s="2"/>
    </x:row>
    <x:row r="41" ht="20" customHeight="1">
      <x:c r="A41" s="1"/>
      <x:c r="B41" s="1"/>
      <x:c r="C41" s="1" t="str">
        <x:v>intangible investment outflow</x:v>
      </x:c>
      <x:c r="D41" s="9" t="n">
        <x:v>4.901</x:v>
      </x:c>
      <x:c r="E41" s="9" t="n">
        <x:v>4.542</x:v>
      </x:c>
      <x:c r="F41" s="9"/>
      <x:c r="G41" s="2"/>
      <x:c r="H41" s="2"/>
      <x:c r="I41" s="2"/>
      <x:c r="J41" s="2"/>
      <x:c r="K41" s="2"/>
    </x:row>
    <x:row r="42" ht="20" customHeight="1">
      <x:c r="A42" s="1"/>
      <x:c r="B42" s="1"/>
      <x:c r="C42" s="1" t="str">
        <x:v>ar change</x:v>
      </x:c>
      <x:c r="D42" s="9" t="n">
        <x:v>-202.87</x:v>
      </x:c>
      <x:c r="E42" s="9" t="n">
        <x:v>-214.457</x:v>
      </x:c>
      <x:c r="F42" s="9"/>
      <x:c r="G42" s="2"/>
      <x:c r="H42" s="2"/>
      <x:c r="I42" s="2"/>
      <x:c r="J42" s="2"/>
      <x:c r="K42" s="2"/>
    </x:row>
    <x:row r="43" ht="20" customHeight="1">
      <x:c r="A43" s="1"/>
      <x:c r="B43" s="1"/>
      <x:c r="C43" s="1" t="str">
        <x:v>inventory change</x:v>
      </x:c>
      <x:c r="D43" s="9" t="n">
        <x:v>65.439</x:v>
      </x:c>
      <x:c r="E43" s="9" t="n">
        <x:v>49.021</x:v>
      </x:c>
      <x:c r="F43" s="9"/>
      <x:c r="G43" s="2"/>
      <x:c r="H43" s="2"/>
      <x:c r="I43" s="2"/>
      <x:c r="J43" s="2"/>
      <x:c r="K43" s="2"/>
    </x:row>
    <x:row r="44" ht="20" customHeight="1">
      <x:c r="A44" s="1"/>
      <x:c r="B44" s="1"/>
      <x:c r="C44" s="1" t="str">
        <x:v>prepaid change</x:v>
      </x:c>
      <x:c r="D44" s="9" t="n">
        <x:v>6.816</x:v>
      </x:c>
      <x:c r="E44" s="9" t="n">
        <x:v>0.115</x:v>
      </x:c>
      <x:c r="F44" s="9"/>
      <x:c r="G44" s="2"/>
      <x:c r="H44" s="2"/>
      <x:c r="I44" s="2"/>
      <x:c r="J44" s="2"/>
      <x:c r="K44" s="2"/>
    </x:row>
    <x:row r="45" ht="20" customHeight="1">
      <x:c r="A45" s="1"/>
      <x:c r="B45" s="1"/>
      <x:c r="C45" s="1" t="str">
        <x:v>ap change</x:v>
      </x:c>
      <x:c r="D45" s="9" t="n">
        <x:v>23.377</x:v>
      </x:c>
      <x:c r="E45" s="9" t="n">
        <x:v>32.546</x:v>
      </x:c>
      <x:c r="F45" s="9"/>
      <x:c r="G45" s="2"/>
      <x:c r="H45" s="2"/>
      <x:c r="I45" s="2"/>
      <x:c r="J45" s="2"/>
      <x:c r="K45" s="2"/>
    </x:row>
    <x:row r="46" ht="20" customHeight="1">
      <x:c r="A46" s="1"/>
      <x:c r="B46" s="1"/>
      <x:c r="C46" s="1" t="str">
        <x:v>accrued change</x:v>
      </x:c>
      <x:c r="D46" s="9" t="n">
        <x:v>24.802</x:v>
      </x:c>
      <x:c r="E46" s="9" t="n">
        <x:v>32.42</x:v>
      </x:c>
      <x:c r="F46" s="9"/>
      <x:c r="G46" s="2"/>
      <x:c r="H46" s="2"/>
      <x:c r="I46" s="2"/>
      <x:c r="J46" s="2"/>
      <x:c r="K46" s="2"/>
    </x:row>
    <x:row r="47" ht="20" customHeight="1">
      <x:c r="A47" s="1"/>
      <x:c r="B47" s="1"/>
      <x:c r="C47" s="1" t="str">
        <x:v>interest</x:v>
      </x:c>
      <x:c r="D47" s="9" t="n">
        <x:v>0</x:v>
      </x:c>
      <x:c r="E47" s="9" t="n">
        <x:v>2.327</x:v>
      </x:c>
      <x:c r="F47" s="9"/>
      <x:c r="G47" s="2"/>
      <x:c r="H47" s="2"/>
      <x:c r="I47" s="2"/>
      <x:c r="J47" s="2"/>
      <x:c r="K47" s="2"/>
    </x:row>
    <x:row r="48" ht="20" customHeight="1">
      <x:c r="A48" s="1"/>
      <x:c r="B48" s="1"/>
      <x:c r="C48" s="1" t="str">
        <x:v>other expenses</x:v>
      </x:c>
      <x:c r="D48" s="9" t="n">
        <x:v>0</x:v>
      </x:c>
      <x:c r="E48" s="9" t="n">
        <x:v>4.672</x:v>
      </x:c>
      <x:c r="F48" s="9"/>
      <x:c r="G48" s="2"/>
      <x:c r="H48" s="2"/>
      <x:c r="I48" s="2"/>
      <x:c r="J48" s="2"/>
      <x:c r="K48" s="2"/>
    </x:row>
    <x:row r="49" ht="20" customHeight="1">
      <x:c r="A49" s="1"/>
      <x:c r="B49" s="1"/>
      <x:c r="C49" s="1"/>
      <x:c r="D49" s="9"/>
      <x:c r="E49" s="9"/>
      <x:c r="F49" s="9"/>
      <x:c r="G49" s="2"/>
      <x:c r="H49" s="2"/>
      <x:c r="I49" s="2"/>
      <x:c r="J49" s="2"/>
      <x:c r="K49" s="2"/>
    </x:row>
    <x:row r="50" ht="20" customHeight="1">
      <x:c r="A50" s="1"/>
      <x:c r="B50" s="1"/>
      <x:c r="C50" s="1" t="str">
        <x:v>Balance-sheet date</x:v>
      </x:c>
      <x:c r="D50" s="9" t="str">
        <x:v>31-Dec-2024</x:v>
      </x:c>
      <x:c r="E50" s="9" t="str">
        <x:v>31-Dec-2025</x:v>
      </x:c>
      <x:c r="F50" s="9" t="str">
        <x:v>30-Jun-2026</x:v>
      </x:c>
      <x:c r="G50" s="2"/>
      <x:c r="H50" s="2"/>
      <x:c r="I50" s="2"/>
      <x:c r="J50" s="2"/>
      <x:c r="K50" s="2"/>
    </x:row>
    <x:row r="51" ht="20" customHeight="1">
      <x:c r="A51" s="1"/>
      <x:c r="B51" s="1"/>
      <x:c r="C51" s="1" t="str">
        <x:v>cash</x:v>
      </x:c>
      <x:c r="D51" s="9" t="n">
        <x:v>1.292</x:v>
      </x:c>
      <x:c r="E51" s="9" t="n">
        <x:v>3.807</x:v>
      </x:c>
      <x:c r="F51" s="9" t="n">
        <x:v>6.475</x:v>
      </x:c>
      <x:c r="G51" s="2"/>
      <x:c r="H51" s="2"/>
      <x:c r="I51" s="2"/>
      <x:c r="J51" s="2"/>
      <x:c r="K51" s="2"/>
    </x:row>
    <x:row r="52" ht="20" customHeight="1">
      <x:c r="A52" s="1"/>
      <x:c r="B52" s="1"/>
      <x:c r="C52" s="1" t="str">
        <x:v>credit line</x:v>
      </x:c>
      <x:c r="D52" s="9" t="n">
        <x:v>202.6</x:v>
      </x:c>
      <x:c r="E52" s="9" t="n">
        <x:v>133.5</x:v>
      </x:c>
      <x:c r="F52" s="9" t="n">
        <x:v>253</x:v>
      </x:c>
      <x:c r="G52" s="2"/>
      <x:c r="H52" s="2"/>
      <x:c r="I52" s="2"/>
      <x:c r="J52" s="2"/>
      <x:c r="K52" s="2"/>
    </x:row>
    <x:row r="53" ht="20" customHeight="1">
      <x:c r="A53" s="1"/>
      <x:c r="B53" s="1"/>
      <x:c r="C53" s="1" t="str">
        <x:v>assets</x:v>
      </x:c>
      <x:c r="D53" s="9" t="n">
        <x:v>1373.967</x:v>
      </x:c>
      <x:c r="E53" s="9" t="n">
        <x:v>1453.441</x:v>
      </x:c>
      <x:c r="F53" s="9" t="n">
        <x:v>1626.468</x:v>
      </x:c>
      <x:c r="G53" s="2"/>
      <x:c r="H53" s="2"/>
      <x:c r="I53" s="2"/>
      <x:c r="J53" s="2"/>
      <x:c r="K53" s="2"/>
    </x:row>
    <x:row r="54" ht="20" customHeight="1">
      <x:c r="A54" s="1"/>
      <x:c r="B54" s="1"/>
      <x:c r="C54" s="1" t="str">
        <x:v>liabilities</x:v>
      </x:c>
      <x:c r="D54" s="9" t="n">
        <x:v>486.843</x:v>
      </x:c>
      <x:c r="E54" s="9" t="n">
        <x:v>419.177</x:v>
      </x:c>
      <x:c r="F54" s="9" t="n">
        <x:v>616.386</x:v>
      </x:c>
      <x:c r="G54" s="2"/>
      <x:c r="H54" s="2"/>
      <x:c r="I54" s="2"/>
      <x:c r="J54" s="2"/>
      <x:c r="K54" s="2"/>
    </x:row>
    <x:row r="55" ht="20" customHeight="1">
      <x:c r="A55" s="1"/>
      <x:c r="B55" s="1"/>
      <x:c r="C55" s="1" t="str">
        <x:v>equity</x:v>
      </x:c>
      <x:c r="D55" s="9" t="n">
        <x:v>887.124</x:v>
      </x:c>
      <x:c r="E55" s="9" t="n">
        <x:v>1034.264</x:v>
      </x:c>
      <x:c r="F55" s="9" t="n">
        <x:v>1010.082</x:v>
      </x:c>
      <x:c r="G55" s="2"/>
      <x:c r="H55" s="2"/>
      <x:c r="I55" s="2"/>
      <x:c r="J55" s="2"/>
      <x:c r="K55" s="2"/>
    </x:row>
    <x:row r="56" ht="20" customHeight="1">
      <x:c r="A56" s="1"/>
      <x:c r="B56" s="1"/>
      <x:c r="C56" s="1" t="str">
        <x:v>shares outstanding</x:v>
      </x:c>
      <x:c r="D56" s="9" t="n">
        <x:v>107.154305</x:v>
      </x:c>
      <x:c r="E56" s="9" t="n">
        <x:v>105.737266</x:v>
      </x:c>
      <x:c r="F56" s="9" t="n">
        <x:v>101.865035</x:v>
      </x:c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 t="str">
        <x:v>Sources and definitions</x:v>
      </x:c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7" t="str">
        <x:v>Annual: consolidated statements of income, cash flows and balance sheets, FY2025 10-K.</x:v>
      </x:c>
      <x:c r="D59" s="8"/>
      <x:c r="E59" s="8"/>
      <x:c r="F59" s="8"/>
      <x:c r="G59" s="8"/>
      <x:c r="H59" s="8"/>
      <x:c r="I59" s="8"/>
      <x:c r="J59" s="8"/>
      <x:c r="K59" s="8"/>
    </x:row>
    <x:row r="60" ht="20" customHeight="1">
      <x:c r="A60" s="1"/>
      <x:c r="B60" s="1"/>
      <x:c r="C60" s="1" t="str">
        <x:v>https://www.sec.gov/Archives/edgar/data/1069878/000119312526068732/trex-20251231.htm</x:v>
      </x:c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7" t="str">
        <x:v>Interim: six months ended June 30, 2026, 10-Q financial statements.</x:v>
      </x:c>
      <x:c r="D61" s="8"/>
      <x:c r="E61" s="8"/>
      <x:c r="F61" s="8"/>
      <x:c r="G61" s="8"/>
      <x:c r="H61" s="8"/>
      <x:c r="I61" s="8"/>
      <x:c r="J61" s="8"/>
      <x:c r="K61" s="8"/>
    </x:row>
    <x:row r="62" ht="20" customHeight="1">
      <x:c r="A62" s="1"/>
      <x:c r="B62" s="1"/>
      <x:c r="C62" s="1" t="str">
        <x:v>https://www.sec.gov/Archives/edgar/data/1069878/000119312526332813/trex-20260630.htm</x:v>
      </x:c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7" t="str">
        <x:v>Guidance: August 4, 2026 results release. Revenue $1,215–1,250m, adjusted EBITDA $335–350m.</x:v>
      </x:c>
      <x:c r="D63" s="8"/>
      <x:c r="E63" s="8"/>
      <x:c r="F63" s="8"/>
      <x:c r="G63" s="8"/>
      <x:c r="H63" s="8"/>
      <x:c r="I63" s="8"/>
      <x:c r="J63" s="8"/>
      <x:c r="K63" s="8"/>
    </x:row>
    <x:row r="64" ht="20" customHeight="1">
      <x:c r="A64" s="1"/>
      <x:c r="B64" s="1"/>
      <x:c r="C64" s="1" t="str">
        <x:v>https://www.sec.gov/Archives/edgar/data/1069878/000119312526331450/trex-ex99_1.htm</x:v>
      </x:c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7" t="str">
        <x:v>Operating working capital uses cash-flow changes, excluding taxes and capital payables.</x:v>
      </x:c>
      <x:c r="D66" s="8"/>
      <x:c r="E66" s="8"/>
      <x:c r="F66" s="8"/>
      <x:c r="G66" s="8"/>
      <x:c r="H66" s="8"/>
      <x:c r="I66" s="8"/>
      <x:c r="J66" s="8"/>
      <x:c r="K66" s="8"/>
    </x:row>
    <x:row r="67" ht="20" customHeight="1">
      <x:c r="A67" s="1"/>
      <x:c r="B67" s="1"/>
      <x:c r="C67" s="7" t="str">
        <x:v>Cash and revolving credit at June 30. Operating leases remain in EBIT, not deducted again in equity bridge.</x:v>
      </x:c>
      <x:c r="D67" s="8"/>
      <x:c r="E67" s="8"/>
      <x:c r="F67" s="8"/>
      <x:c r="G67" s="8"/>
      <x:c r="H67" s="8"/>
      <x:c r="I67" s="8"/>
      <x:c r="J67" s="8"/>
      <x:c r="K67" s="8"/>
    </x:row>
    <x:row r="68" ht="20" customHeight="1">
      <x:c r="A68" s="1"/>
      <x:c r="B68" s="1"/>
      <x:c r="C68" s="7" t="str">
        <x:v>Shares in millions: actual common shares outstanding at June 30, not weighted-average EPS shares.</x:v>
      </x:c>
      <x:c r="D68" s="8"/>
      <x:c r="E68" s="8"/>
      <x:c r="F68" s="8"/>
      <x:c r="G68" s="8"/>
      <x:c r="H68" s="8"/>
      <x:c r="I68" s="8"/>
      <x:c r="J68" s="8"/>
      <x:c r="K68" s="8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0" customHeight="1">
      <x:c r="A2" s="1"/>
      <x:c r="B2" s="1"/>
      <x:c r="C2" s="3" t="str">
        <x:v>TREX COMPANY</x:v>
      </x:c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1"/>
      <x:c r="B3" s="1"/>
      <x:c r="C3" s="1" t="str">
        <x:v>Checks</x:v>
      </x:c>
      <x:c r="D3" s="2"/>
      <x:c r="E3" s="2"/>
      <x:c r="F3" s="2"/>
      <x:c r="G3" s="2"/>
      <x:c r="H3" s="2"/>
      <x:c r="I3" s="2" t="str">
        <x:v>Case Selected:</x:v>
      </x:c>
      <x:c r="J3" s="2"/>
      <x:c r="K3" s="6" t="str">
        <x:f>CHOOSE(Assumptions!$D$6,"Base","Downside")</x:f>
        <x:v>Base</x:v>
      </x:c>
    </x:row>
    <x:row r="4" ht="20" customHeight="1">
      <x:c r="A4" s="1"/>
      <x:c r="B4" s="1"/>
      <x:c r="C4" s="1" t="str">
        <x:v>USD millions, except per-share data</x:v>
      </x:c>
      <x:c r="D4" s="2"/>
      <x:c r="E4" s="2"/>
      <x:c r="F4" s="2"/>
      <x:c r="G4" s="2"/>
      <x:c r="H4" s="2"/>
      <x:c r="I4" s="2"/>
      <x:c r="J4" s="2"/>
      <x:c r="K4" s="2"/>
    </x:row>
    <x:row r="5" ht="20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0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</x:row>
    <x:row r="7" ht="20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</x:row>
    <x:row r="8" ht="20" customHeight="1">
      <x:c r="A8" s="1"/>
      <x:c r="B8" s="1"/>
      <x:c r="C8" s="29" t="str">
        <x:v>Reconciliations (zero difference expected)</x:v>
      </x:c>
      <x:c r="D8" s="30"/>
      <x:c r="E8" s="30"/>
      <x:c r="F8" s="30"/>
      <x:c r="G8" s="30"/>
      <x:c r="H8" s="30"/>
      <x:c r="I8" s="30"/>
      <x:c r="J8" s="30"/>
      <x:c r="K8" s="30"/>
    </x:row>
    <x:row r="9" ht="20" customHeight="1">
      <x:c r="A9" s="1"/>
      <x:c r="B9" s="1"/>
      <x:c r="C9" s="1" t="str">
        <x:v>Annual gross profit tie</x:v>
      </x:c>
      <x:c r="D9" s="26" t="n">
        <x:f>SUM(Actuals!D9:F9)-SUM(Actuals!D10:F10)-SUM(Actuals!D11:F11)</x:f>
        <x:v>-2.2737367544323206e-13</x:v>
      </x:c>
      <x:c r="E9" s="2"/>
      <x:c r="F9" s="2"/>
      <x:c r="G9" s="2"/>
      <x:c r="H9" s="2"/>
      <x:c r="I9" s="2"/>
      <x:c r="J9" s="2"/>
      <x:c r="K9" s="2"/>
    </x:row>
    <x:row r="10" ht="20" customHeight="1">
      <x:c r="A10" s="1"/>
      <x:c r="B10" s="1"/>
      <x:c r="C10" s="1" t="str">
        <x:v>Annual EBIT tie</x:v>
      </x:c>
      <x:c r="D10" s="26" t="n">
        <x:f>SUM(Actuals!D11:F11)-SUM(Actuals!D12:F12)-SUM(Actuals!D13:F13)</x:f>
        <x:v>-1.1368683772161603e-13</x:v>
      </x:c>
      <x:c r="E10" s="2"/>
      <x:c r="F10" s="2"/>
      <x:c r="G10" s="2"/>
      <x:c r="H10" s="2"/>
      <x:c r="I10" s="2"/>
      <x:c r="J10" s="2"/>
      <x:c r="K10" s="2"/>
    </x:row>
    <x:row r="11" ht="20" customHeight="1">
      <x:c r="A11" s="1"/>
      <x:c r="B11" s="1"/>
      <x:c r="C11" s="1" t="str">
        <x:v>June balance sheet tie</x:v>
      </x:c>
      <x:c r="D11" s="26" t="n">
        <x:f>Actuals!F53-Actuals!F54-Actuals!F55</x:f>
        <x:v>1.1368683772161603e-13</x:v>
      </x:c>
      <x:c r="E11" s="2"/>
      <x:c r="F11" s="2"/>
      <x:c r="G11" s="2"/>
      <x:c r="H11" s="2"/>
      <x:c r="I11" s="2"/>
      <x:c r="J11" s="2"/>
      <x:c r="K11" s="2"/>
    </x:row>
    <x:row r="12" ht="20" customHeight="1">
      <x:c r="A12" s="1"/>
      <x:c r="B12" s="1"/>
      <x:c r="C12" s="1" t="str">
        <x:v>Equity bridge tie</x:v>
      </x:c>
      <x:c r="D12" s="26" t="n">
        <x:f>DCF!D32-DCF!D29-DCF!D30+DCF!D31</x:f>
        <x:v>-8.526512829121202e-14</x:v>
      </x:c>
      <x:c r="E12" s="2"/>
      <x:c r="F12" s="2"/>
      <x:c r="G12" s="2"/>
      <x:c r="H12" s="2"/>
      <x:c r="I12" s="2"/>
      <x:c r="J12" s="2"/>
      <x:c r="K12" s="2"/>
    </x:row>
    <x:row r="13" ht="20" customHeight="1">
      <x:c r="A13" s="1"/>
      <x:c r="B13" s="1"/>
      <x:c r="C13" s="1" t="str">
        <x:v>Sensitivity center vs independent calculation</x:v>
      </x:c>
      <x:c r="D13" s="26" t="n">
        <x:f>DCF!G43-D36</x:f>
        <x:v>-2.842170943040401e-14</x:v>
      </x:c>
      <x:c r="E13" s="2"/>
      <x:c r="F13" s="2"/>
      <x:c r="G13" s="2"/>
      <x:c r="H13" s="2"/>
      <x:c r="I13" s="2"/>
      <x:c r="J13" s="2"/>
      <x:c r="K13" s="2"/>
    </x:row>
    <x:row r="14" ht="20" customHeight="1">
      <x:c r="A14" s="1"/>
      <x:c r="B14" s="1"/>
      <x:c r="C14" s="1" t="str">
        <x:v>H1 + H2 FCFF = FY2026</x:v>
      </x:c>
      <x:c r="D14" s="26" t="n">
        <x:f>DCF!D16+DCF!D21-Operating!G26</x:f>
        <x:v>0</x:v>
      </x:c>
      <x:c r="E14" s="2"/>
      <x:c r="F14" s="2"/>
      <x:c r="G14" s="2"/>
      <x:c r="H14" s="2"/>
      <x:c r="I14" s="2"/>
      <x:c r="J14" s="2"/>
      <x:c r="K14" s="2"/>
    </x:row>
    <x:row r="15" ht="20" customHeight="1">
      <x:c r="A15" s="1"/>
      <x:c r="B15" s="1"/>
      <x:c r="C15" s="1" t="str">
        <x:v>Cash roll-forward tie, 2030</x:v>
      </x:c>
      <x:c r="D15" s="26" t="n">
        <x:f>Operating!K38-Operating!K32-Operating!K33-Operating!K34+Operating!K35-Operating!K36+Operating!K37</x:f>
        <x:v>-9.592326932761353e-14</x:v>
      </x:c>
      <x:c r="E15" s="2"/>
      <x:c r="F15" s="2"/>
      <x:c r="G15" s="2"/>
      <x:c r="H15" s="2"/>
      <x:c r="I15" s="2"/>
      <x:c r="J15" s="2"/>
      <x:c r="K15" s="2"/>
    </x:row>
    <x:row r="16" ht="20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</x:row>
    <x:row r="17" ht="20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</x:row>
    <x:row r="18" ht="20" customHeight="1">
      <x:c r="A18" s="1"/>
      <x:c r="B18" s="1"/>
      <x:c r="C18" s="1" t="str">
        <x:v>Positive H2 revenue</x:v>
      </x:c>
      <x:c r="D18" s="5" t="n">
        <x:f>Operating!G9-Actuals!E32</x:f>
        <x:v>471.078</x:v>
      </x:c>
      <x:c r="E18" s="2"/>
      <x:c r="F18" s="2"/>
      <x:c r="G18" s="2"/>
      <x:c r="H18" s="2"/>
      <x:c r="I18" s="2"/>
      <x:c r="J18" s="2"/>
      <x:c r="K18" s="2"/>
    </x:row>
    <x:row r="19" ht="20" customHeight="1">
      <x:c r="A19" s="1"/>
      <x:c r="B19" s="1"/>
      <x:c r="C19" s="1" t="str">
        <x:v>Positive H2 PP&amp;E investment</x:v>
      </x:c>
      <x:c r="D19" s="5" t="n">
        <x:f>Operating!G22-Actuals!E40</x:f>
        <x:v>57.263</x:v>
      </x:c>
      <x:c r="E19" s="2"/>
      <x:c r="F19" s="2"/>
      <x:c r="G19" s="2"/>
      <x:c r="H19" s="2"/>
      <x:c r="I19" s="2"/>
      <x:c r="J19" s="2"/>
      <x:c r="K19" s="2"/>
    </x:row>
    <x:row r="20" ht="20" customHeight="1">
      <x:c r="A20" s="1"/>
      <x:c r="B20" s="1"/>
      <x:c r="C20" s="1" t="str">
        <x:v>WACC greater than terminal growth</x:v>
      </x:c>
      <x:c r="D20" s="16" t="n">
        <x:f>DCF!D6-DCF!D7</x:f>
        <x:v>0.07500000000000001</x:v>
      </x:c>
      <x:c r="E20" s="2"/>
      <x:c r="F20" s="2"/>
      <x:c r="G20" s="2"/>
      <x:c r="H20" s="2"/>
      <x:c r="I20" s="2"/>
      <x:c r="J20" s="2"/>
      <x:c r="K20" s="2"/>
    </x:row>
    <x:row r="21" ht="20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</x:row>
    <x:row r="22" ht="20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</x:row>
    <x:row r="23" ht="20" customHeight="1">
      <x:c r="A23" s="1"/>
      <x:c r="B23" s="1"/>
      <x:c r="C23" s="7" t="str">
        <x:v>Checks measure calculation integrity. They do not validate commercial forecast assumptions.</x:v>
      </x:c>
      <x:c r="D23" s="8"/>
      <x:c r="E23" s="8"/>
      <x:c r="F23" s="8"/>
      <x:c r="G23" s="8"/>
      <x:c r="H23" s="8"/>
      <x:c r="I23" s="8"/>
      <x:c r="J23" s="8"/>
      <x:c r="K23" s="8"/>
    </x:row>
    <x:row r="24" ht="20" customHeight="1">
      <x:c r="A24" s="1"/>
      <x:c r="B24" s="1"/>
      <x:c r="C24" s="7" t="str">
        <x:v>Normalized FCFF differs from CFO less investment: tax timing, deferred tax, SBC and other items remain.</x:v>
      </x:c>
      <x:c r="D24" s="8"/>
      <x:c r="E24" s="8"/>
      <x:c r="F24" s="8"/>
      <x:c r="G24" s="8"/>
      <x:c r="H24" s="8"/>
      <x:c r="I24" s="8"/>
      <x:c r="J24" s="8"/>
      <x:c r="K24" s="8"/>
    </x:row>
    <x:row r="25" ht="20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</x:row>
    <x:row r="26" ht="20" customHeight="1">
      <x:c r="A26" s="1"/>
      <x:c r="B26" s="1"/>
      <x:c r="C26" s="1" t="str">
        <x:v>H1 reported CFO less PP&amp;E/intangibles</x:v>
      </x:c>
      <x:c r="D26" s="5" t="n">
        <x:f>Actuals!E39-SUM(Actuals!E40:E41)</x:f>
        <x:v>38.46099999999999</x:v>
      </x:c>
      <x:c r="E26" s="2"/>
      <x:c r="F26" s="2"/>
      <x:c r="G26" s="2"/>
      <x:c r="H26" s="2"/>
      <x:c r="I26" s="2"/>
      <x:c r="J26" s="2"/>
      <x:c r="K26" s="2"/>
    </x:row>
    <x:row r="27" ht="20" customHeight="1">
      <x:c r="A27" s="1"/>
      <x:c r="B27" s="1"/>
      <x:c r="C27" s="1" t="str">
        <x:v>H1 normalized FCFF</x:v>
      </x:c>
      <x:c r="D27" s="5" t="n">
        <x:f>DCF!D16</x:f>
        <x:v>9.768988367090884</x:v>
      </x:c>
      <x:c r="E27" s="2"/>
      <x:c r="F27" s="2"/>
      <x:c r="G27" s="2"/>
      <x:c r="H27" s="2"/>
      <x:c r="I27" s="2"/>
      <x:c r="J27" s="2"/>
      <x:c r="K27" s="2"/>
    </x:row>
    <x:row r="28" ht="20" customHeight="1">
      <x:c r="A28" s="1"/>
      <x:c r="B28" s="1"/>
      <x:c r="C28" s="1" t="str">
        <x:v>Normalization difference</x:v>
      </x:c>
      <x:c r="D28" s="4" t="n">
        <x:f>D27-D26</x:f>
        <x:v>-28.692011632909107</x:v>
      </x:c>
      <x:c r="E28" s="2"/>
      <x:c r="F28" s="2"/>
      <x:c r="G28" s="2"/>
      <x:c r="H28" s="2"/>
      <x:c r="I28" s="2"/>
      <x:c r="J28" s="2"/>
      <x:c r="K28" s="2"/>
    </x:row>
    <x:row r="29" ht="20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</x:row>
    <x:row r="30" ht="20" customHeight="1">
      <x:c r="A30" s="1"/>
      <x:c r="B30" s="1"/>
      <x:c r="C30" s="1" t="str">
        <x:v>Independent sensitivity-center calculation</x:v>
      </x:c>
      <x:c r="D30" s="2"/>
      <x:c r="E30" s="2"/>
      <x:c r="F30" s="2"/>
      <x:c r="G30" s="2"/>
      <x:c r="H30" s="2"/>
      <x:c r="I30" s="2"/>
      <x:c r="J30" s="2"/>
      <x:c r="K30" s="2"/>
    </x:row>
    <x:row r="31" ht="20" customHeight="1">
      <x:c r="A31" s="1"/>
      <x:c r="B31" s="1"/>
      <x:c r="C31" s="1" t="str">
        <x:v>Center-grid WACC</x:v>
      </x:c>
      <x:c r="D31" s="16" t="n">
        <x:f>DCF!D43</x:f>
        <x:v>0.1</x:v>
      </x:c>
      <x:c r="E31" s="2"/>
      <x:c r="F31" s="2"/>
      <x:c r="G31" s="2"/>
      <x:c r="H31" s="2"/>
      <x:c r="I31" s="2"/>
      <x:c r="J31" s="2"/>
      <x:c r="K31" s="2"/>
    </x:row>
    <x:row r="32" ht="20" customHeight="1">
      <x:c r="A32" s="1"/>
      <x:c r="B32" s="1"/>
      <x:c r="C32" s="1" t="str">
        <x:v>Center-grid terminal growth</x:v>
      </x:c>
      <x:c r="D32" s="16" t="n">
        <x:f>DCF!G40</x:f>
        <x:v>0.025</x:v>
      </x:c>
      <x:c r="E32" s="2"/>
      <x:c r="F32" s="2"/>
      <x:c r="G32" s="2"/>
      <x:c r="H32" s="2"/>
      <x:c r="I32" s="2"/>
      <x:c r="J32" s="2"/>
      <x:c r="K32" s="2"/>
    </x:row>
    <x:row r="33" ht="20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</x:row>
    <x:row r="34" ht="20" customHeight="1">
      <x:c r="A34" s="1"/>
      <x:c r="B34" s="1"/>
      <x:c r="C34" s="1" t="str">
        <x:v>PV of explicit cash flows</x:v>
      </x:c>
      <x:c r="D34" s="5" t="n">
        <x:f>DCF!D21/(1+$D$31)^DCF!D20+DCF!E21/(1+$D$31)^DCF!E20+DCF!F21/(1+$D$31)^DCF!F20+DCF!G21/(1+$D$31)^DCF!G20+DCF!H21/(1+$D$31)^DCF!H20</x:f>
        <x:v>809.1814754123859</x:v>
      </x:c>
      <x:c r="E34" s="2"/>
      <x:c r="F34" s="2"/>
      <x:c r="G34" s="2"/>
      <x:c r="H34" s="2"/>
      <x:c r="I34" s="2"/>
      <x:c r="J34" s="2"/>
      <x:c r="K34" s="2"/>
    </x:row>
    <x:row r="35" ht="20" customHeight="1">
      <x:c r="A35" s="1"/>
      <x:c r="B35" s="1"/>
      <x:c r="C35" s="1" t="str">
        <x:v>PV of terminal value</x:v>
      </x:c>
      <x:c r="D35" s="5" t="n">
        <x:f>DCF!H21*(1+D32)/(D31-D32)/(1+D31)^DCF!H20</x:f>
        <x:v>2358.0573915946165</x:v>
      </x:c>
      <x:c r="E35" s="2"/>
      <x:c r="F35" s="2"/>
      <x:c r="G35" s="2"/>
      <x:c r="H35" s="2"/>
      <x:c r="I35" s="2"/>
      <x:c r="J35" s="2"/>
      <x:c r="K35" s="2"/>
    </x:row>
    <x:row r="36" ht="20" customHeight="1">
      <x:c r="A36" s="1"/>
      <x:c r="B36" s="1"/>
      <x:c r="C36" s="1" t="str">
        <x:v>Independent common-share value</x:v>
      </x:c>
      <x:c r="D36" s="24" t="n">
        <x:f>(D34+D35+Actuals!F51-Actuals!F52)/Actuals!F56</x:f>
        <x:v>28.67238858757573</x:v>
      </x:c>
      <x:c r="E36" s="2"/>
      <x:c r="F36" s="2"/>
      <x:c r="G36" s="2"/>
      <x:c r="H36" s="2"/>
      <x:c r="I36" s="2"/>
      <x:c r="J36" s="2"/>
      <x:c r="K36" s="2"/>
    </x:row>
    <x:row r="37" ht="20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1"/>
      <x:c r="B38" s="1"/>
      <x:c r="C38" s="7" t="str">
        <x:v>Center-grid check uses fixed sensitivity headers, independently of the selected WACC and growth.</x:v>
      </x:c>
      <x:c r="D38" s="8"/>
      <x:c r="E38" s="8"/>
      <x:c r="F38" s="8"/>
      <x:c r="G38" s="8"/>
      <x:c r="H38" s="8"/>
      <x:c r="I38" s="8"/>
      <x:c r="J38" s="8"/>
      <x:c r="K38" s="8"/>
    </x:row>
    <x:row r="39" ht="20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</x:row>
    <x:row r="40" ht="20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</x:row>
    <x:row r="41" ht="20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</x:row>
    <x:row r="42" ht="20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</x:row>
    <x:row r="43" ht="20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</x:row>
    <x:row r="44" ht="20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</x:row>
    <x:row r="45" ht="20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</x:row>
    <x:row r="46" ht="20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</x:row>
    <x:row r="47" ht="20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</x:row>
    <x:row r="48" ht="20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</x:row>
    <x:row r="49" ht="20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</x:row>
    <x:row r="50" ht="20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</x:row>
    <x:row r="51" ht="20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</x:row>
    <x:row r="52" ht="20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</x:row>
    <x:row r="53" ht="20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0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0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0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0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  <x:row r="58" ht="20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</x:row>
    <x:row r="59" ht="20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</x:row>
    <x:row r="60" ht="20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</x:row>
    <x:row r="61" ht="20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</x:row>
    <x:row r="62" ht="20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</x:row>
    <x:row r="63" ht="20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</x:row>
    <x:row r="64" ht="20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</x:row>
    <x:row r="65" ht="20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</x:row>
    <x:row r="66" ht="20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</x:row>
    <x:row r="67" ht="20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</x:row>
    <x:row r="70" ht="20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</x:row>
    <x:row r="72" ht="20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</x:row>
    <x:row r="73" ht="20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</x:row>
    <x:row r="74" ht="20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</x:row>
    <x:row r="75" ht="20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</x:row>
    <x:row r="76" ht="20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</x:row>
    <x:row r="77" ht="20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</x:row>
    <x:row r="86" ht="20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</x:row>
    <x:row r="87" ht="20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</x:row>
    <x:row r="88" ht="20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</x:row>
    <x:row r="89" ht="20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</x:row>
    <x:row r="90" ht="20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</x:row>
  </x:sheetData>
  <x:conditionalFormatting sqref="D9:D15">
    <x:cfRule type="cellIs" dxfId="0" priority="1" operator="notBetween">
      <x:formula>-0.0001</x:formula>
      <x:formula>0.0001</x:formula>
    </x:cfRule>
  </x:conditionalFormatting>
  <x:pageMargins left="0.7" right="0.7" top="0.75" bottom="0.75" header="0.3" footer="0.3"/>
</x:worksheet>
</file>